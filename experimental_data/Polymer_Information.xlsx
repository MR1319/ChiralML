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hz118_illinois_edu/Documents/A/P5 collab LCML/Chiral-LLC-ML-main/experimental_data/"/>
    </mc:Choice>
  </mc:AlternateContent>
  <xr:revisionPtr revIDLastSave="1" documentId="8_{E627E586-C39B-483F-BC99-004CE66267D1}" xr6:coauthVersionLast="47" xr6:coauthVersionMax="47" xr10:uidLastSave="{1635AE02-487D-4B8D-A0A8-BFD14D0699A8}"/>
  <bookViews>
    <workbookView xWindow="1920" yWindow="1920" windowWidth="20880" windowHeight="14352" xr2:uid="{89FEB708-31CE-6440-AC60-DF7666A7447E}"/>
  </bookViews>
  <sheets>
    <sheet name="molecular Info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" i="1" l="1"/>
  <c r="R71" i="1"/>
  <c r="R70" i="1"/>
  <c r="R69" i="1"/>
  <c r="R68" i="1"/>
  <c r="S37" i="1"/>
  <c r="S36" i="1"/>
  <c r="S19" i="1"/>
  <c r="S12" i="1"/>
  <c r="S21" i="1"/>
  <c r="S20" i="1"/>
  <c r="S74" i="1"/>
  <c r="S10" i="1"/>
  <c r="S45" i="1"/>
  <c r="S44" i="1"/>
  <c r="S13" i="1"/>
  <c r="S23" i="1"/>
  <c r="S35" i="1"/>
  <c r="S26" i="1"/>
  <c r="S7" i="1"/>
  <c r="S6" i="1"/>
  <c r="S5" i="1"/>
  <c r="S4" i="1"/>
  <c r="S47" i="1"/>
  <c r="S64" i="1"/>
  <c r="I64" i="1"/>
  <c r="S63" i="1"/>
  <c r="I63" i="1"/>
  <c r="I45" i="1"/>
  <c r="I47" i="1"/>
  <c r="I22" i="1"/>
  <c r="I20" i="1"/>
  <c r="S11" i="1"/>
  <c r="I11" i="1"/>
  <c r="S9" i="1"/>
  <c r="I9" i="1"/>
  <c r="S15" i="1"/>
  <c r="I15" i="1"/>
  <c r="S14" i="1"/>
  <c r="I14" i="1"/>
  <c r="R52" i="1"/>
  <c r="I52" i="1"/>
  <c r="S51" i="1"/>
  <c r="I51" i="1"/>
  <c r="S50" i="1"/>
  <c r="I50" i="1"/>
  <c r="S49" i="1"/>
  <c r="I49" i="1"/>
  <c r="S48" i="1"/>
  <c r="I48" i="1"/>
  <c r="S46" i="1"/>
  <c r="I46" i="1"/>
  <c r="S29" i="1"/>
  <c r="I29" i="1"/>
  <c r="S30" i="1"/>
  <c r="I30" i="1"/>
  <c r="S31" i="1"/>
  <c r="I31" i="1"/>
  <c r="S32" i="1"/>
  <c r="I32" i="1"/>
  <c r="S33" i="1"/>
  <c r="I33" i="1"/>
  <c r="S34" i="1"/>
  <c r="I34" i="1"/>
  <c r="I8" i="1"/>
  <c r="I59" i="1"/>
  <c r="I58" i="1"/>
  <c r="I57" i="1"/>
  <c r="I73" i="1"/>
  <c r="I62" i="1"/>
  <c r="I18" i="1"/>
  <c r="I17" i="1"/>
  <c r="I16" i="1"/>
  <c r="I21" i="1"/>
  <c r="I27" i="1"/>
  <c r="I24" i="1"/>
  <c r="I25" i="1"/>
  <c r="I28" i="1"/>
  <c r="I43" i="1"/>
  <c r="I42" i="1"/>
  <c r="I40" i="1"/>
  <c r="I41" i="1"/>
  <c r="I39" i="1"/>
  <c r="I38" i="1"/>
  <c r="S8" i="1"/>
  <c r="S61" i="1"/>
  <c r="S60" i="1"/>
  <c r="S59" i="1"/>
  <c r="S58" i="1"/>
  <c r="S57" i="1"/>
  <c r="S73" i="1"/>
  <c r="S62" i="1"/>
  <c r="S18" i="1"/>
  <c r="S17" i="1"/>
  <c r="S16" i="1"/>
  <c r="S22" i="1"/>
  <c r="S27" i="1"/>
  <c r="S24" i="1"/>
  <c r="S25" i="1"/>
  <c r="S28" i="1"/>
  <c r="S43" i="1"/>
  <c r="S42" i="1"/>
  <c r="S40" i="1"/>
  <c r="S41" i="1"/>
  <c r="S39" i="1"/>
  <c r="S38" i="1"/>
</calcChain>
</file>

<file path=xl/sharedStrings.xml><?xml version="1.0" encoding="utf-8"?>
<sst xmlns="http://schemas.openxmlformats.org/spreadsheetml/2006/main" count="125" uniqueCount="119">
  <si>
    <t>*numbers are based on each repeating unit</t>
  </si>
  <si>
    <t>Side Chains (SC)</t>
  </si>
  <si>
    <t>Backbones (BB)</t>
  </si>
  <si>
    <t>Molecular weight</t>
  </si>
  <si>
    <t>Source</t>
  </si>
  <si>
    <t>Polymer name</t>
  </si>
  <si>
    <t># C atoms on SC</t>
  </si>
  <si>
    <t># O atoms on SC</t>
  </si>
  <si>
    <t># C-C (or C-O )bond on SC</t>
  </si>
  <si>
    <t># SC braching pts</t>
  </si>
  <si>
    <t xml:space="preserve"># atoms (C and O) between braching and BB </t>
  </si>
  <si>
    <t># atoms (C and O) after branching</t>
  </si>
  <si>
    <t># total branches</t>
  </si>
  <si>
    <t># SC  units</t>
  </si>
  <si>
    <t># of C atoms on BB</t>
  </si>
  <si>
    <t># of heteroatoms atoms on BB</t>
  </si>
  <si>
    <t># of C-C rotatable on BB</t>
  </si>
  <si>
    <t># of C=C bond on BB</t>
  </si>
  <si>
    <t># of rings</t>
  </si>
  <si>
    <t># of conjugated units on BB</t>
  </si>
  <si>
    <t>Mn</t>
  </si>
  <si>
    <t>Mw</t>
  </si>
  <si>
    <t>PDI</t>
  </si>
  <si>
    <t>Thiophene family</t>
  </si>
  <si>
    <t>g42T-TT</t>
  </si>
  <si>
    <t>Justin Neu, Prof. Wei You</t>
  </si>
  <si>
    <t>g32T-TT</t>
  </si>
  <si>
    <t>g32T-T</t>
  </si>
  <si>
    <t>PBTTT-C14</t>
  </si>
  <si>
    <t>P3HT</t>
  </si>
  <si>
    <t>Sigma</t>
  </si>
  <si>
    <t>P3MEEMT</t>
  </si>
  <si>
    <t>AcDOT-[C10]2-co-[OE3]2</t>
  </si>
  <si>
    <t>Joshua M. Rinehart, Anna M. Österholm, Prof. John Reynolds</t>
  </si>
  <si>
    <t>AcDOT-[CH3-C10]-co-[CH3-OE3]</t>
  </si>
  <si>
    <t>AcDOT-[C3-C10]</t>
  </si>
  <si>
    <t>AcDOT-[OE3]2</t>
  </si>
  <si>
    <t>AcDOT-[C10]2</t>
  </si>
  <si>
    <t>PTQ-10</t>
  </si>
  <si>
    <t>PTQ-2bO2</t>
  </si>
  <si>
    <t>PTQ-4bO2</t>
  </si>
  <si>
    <t>PTQ-6bO</t>
  </si>
  <si>
    <t>PTQ-6O</t>
  </si>
  <si>
    <t>PTQ-6bO2</t>
  </si>
  <si>
    <t>NDI family</t>
  </si>
  <si>
    <t>N2200 - 3.6 k</t>
  </si>
  <si>
    <t>Oscilla</t>
  </si>
  <si>
    <t>N2200 - 5.7 k</t>
  </si>
  <si>
    <t>N2200 - 9.1 k</t>
  </si>
  <si>
    <t>N2200 - 22.0 k</t>
  </si>
  <si>
    <t>N2200 - 50.0 k</t>
  </si>
  <si>
    <t>N2200 - 130.0 k</t>
  </si>
  <si>
    <t>p(C3NDI-T)</t>
  </si>
  <si>
    <t>p(C6NDI-T)</t>
  </si>
  <si>
    <t>PII</t>
  </si>
  <si>
    <t>Dr. Rui Zhang</t>
  </si>
  <si>
    <t>PII-T</t>
  </si>
  <si>
    <t>PII-TT</t>
  </si>
  <si>
    <t>PTII-2T</t>
  </si>
  <si>
    <t>PII-3T</t>
  </si>
  <si>
    <t>PII-TTT</t>
  </si>
  <si>
    <t>PII-2T (C8-C10)</t>
  </si>
  <si>
    <t>PII-2T (C10-C10) - 18.8k</t>
  </si>
  <si>
    <t>PII-2T (C10-C10) - 22.8k</t>
  </si>
  <si>
    <t>PII-2T (C10-C10) - 23.8k</t>
  </si>
  <si>
    <t>DPP family</t>
  </si>
  <si>
    <t>DPP2T-T4</t>
  </si>
  <si>
    <t>Xuyi Luo, Prof. Jianguo Mei</t>
  </si>
  <si>
    <t>DPP2T-T2F2</t>
  </si>
  <si>
    <t>DPP2T-T2M2</t>
  </si>
  <si>
    <t>DPP2T-Btz</t>
  </si>
  <si>
    <t>PyDPP-2T (C8C10)</t>
  </si>
  <si>
    <t>PyDPP-2T (C10C12)</t>
  </si>
  <si>
    <t>PyDPP-2T2F</t>
  </si>
  <si>
    <t>PE2-biOE2</t>
  </si>
  <si>
    <t>Austin L. Jones, Prof. John Reynolds</t>
  </si>
  <si>
    <t>PE2-biOE3</t>
  </si>
  <si>
    <t>ProDOT(OE3)-co-ProDOT(EtHx)</t>
  </si>
  <si>
    <t>ProDOT(OE3)-co-ProDOT(Oct)</t>
  </si>
  <si>
    <t>PE2-biOE2OE3 - 16k</t>
  </si>
  <si>
    <t>PE2-biOE2OE3 - 19.8k</t>
  </si>
  <si>
    <t>PE2-biOE2OE3 - 20k</t>
  </si>
  <si>
    <t>PM7</t>
  </si>
  <si>
    <t>PM7 D1</t>
  </si>
  <si>
    <t>PM7 D2</t>
  </si>
  <si>
    <t>PM7 3ET2</t>
  </si>
  <si>
    <t>Sina Sabury, Prof. John Reynolds</t>
  </si>
  <si>
    <t>PM7 2ET2</t>
  </si>
  <si>
    <t>TPT family</t>
  </si>
  <si>
    <t>Justine S. Wagner, Prof. John Reynolds</t>
  </si>
  <si>
    <t>BBL4-58k</t>
  </si>
  <si>
    <t>Duyen Tran, Samson A. Jenekhe</t>
  </si>
  <si>
    <t>BBL2 - 39.3k</t>
  </si>
  <si>
    <t>BBL12 - 102.5k</t>
  </si>
  <si>
    <t>BBB - 59.7k</t>
  </si>
  <si>
    <t>BBB - 40.8k</t>
  </si>
  <si>
    <t>D18</t>
  </si>
  <si>
    <t>Ossila</t>
  </si>
  <si>
    <t>IDTBT</t>
  </si>
  <si>
    <t>1-Material</t>
  </si>
  <si>
    <t>F8BT</t>
  </si>
  <si>
    <t>Lumtech</t>
  </si>
  <si>
    <t>Christina Kousseff, Iain McCulloch</t>
  </si>
  <si>
    <t>TPT-E (C8/C10)</t>
  </si>
  <si>
    <t>TPT-2E (C8/C10)</t>
  </si>
  <si>
    <t>T(OE3)P(OC8)-E</t>
  </si>
  <si>
    <t>T(OE3)P(OE3)-E</t>
  </si>
  <si>
    <t>TPT-T (C8/C10)</t>
  </si>
  <si>
    <t>PBTTT-OE3</t>
  </si>
  <si>
    <t>N2200-OE</t>
  </si>
  <si>
    <t>DPP2T-TT (C2-C8C10)</t>
  </si>
  <si>
    <t>DOT family</t>
  </si>
  <si>
    <t>Qx family</t>
  </si>
  <si>
    <t>II family</t>
  </si>
  <si>
    <t>BDT family</t>
  </si>
  <si>
    <t>Ladder polymers</t>
  </si>
  <si>
    <t>IDT polymer</t>
  </si>
  <si>
    <t>PF polymer</t>
  </si>
  <si>
    <t>DPP2T-TT (C4-C10C10)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</si>
</sst>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times"/>
    </font>
    <font>
      <sz val="16"/>
      <color theme="1"/>
      <name val="Times New Roman"/>
      <family val="1"/>
    </font>
    <font>
      <sz val="16"/>
      <color rgb="FF00B050"/>
      <name val="Times New Roman"/>
      <family val="1"/>
    </font>
    <font>
      <sz val="16"/>
      <color rgb="FFFF0000"/>
      <name val="Times New Roman"/>
      <family val="1"/>
    </font>
    <font>
      <sz val="16"/>
      <color theme="0"/>
      <name val="Times New Roman"/>
      <family val="1"/>
    </font>
    <font>
      <sz val="16"/>
      <color rgb="FF00B0F0"/>
      <name val="Times New Roman"/>
      <family val="1"/>
    </font>
    <font>
      <sz val="16"/>
      <color rgb="FFFF0000"/>
      <name val="times"/>
    </font>
    <font>
      <sz val="16"/>
      <color rgb="FF28BC6B"/>
      <name val="Times New Roman"/>
      <family val="1"/>
    </font>
    <font>
      <sz val="16"/>
      <color rgb="FF00B0F0"/>
      <name val="times"/>
    </font>
    <font>
      <sz val="16"/>
      <color rgb="FF000000"/>
      <name val="times"/>
    </font>
  </fonts>
  <fills count="6">
    <fill>
      <patternFill patternType="none"/>
    </fill>
    <fill>
      <patternFill patternType="gray125"/>
    </fill>
    <fill>
      <patternFill patternType="solid">
        <fgColor rgb="FF05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" fontId="4" fillId="4" borderId="13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5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B093-8C83-D24A-971F-B5F04B177D9D}">
  <dimension ref="A1:T111"/>
  <sheetViews>
    <sheetView tabSelected="1" topLeftCell="A36" zoomScale="56" zoomScaleNormal="40" workbookViewId="0">
      <selection activeCell="B51" sqref="B51"/>
    </sheetView>
  </sheetViews>
  <sheetFormatPr defaultColWidth="10.7265625" defaultRowHeight="21" x14ac:dyDescent="0.4"/>
  <cols>
    <col min="1" max="1" width="23.08984375" style="2" bestFit="1" customWidth="1"/>
    <col min="2" max="2" width="42.6328125" style="2" bestFit="1" customWidth="1"/>
    <col min="3" max="3" width="18.08984375" style="2" customWidth="1"/>
    <col min="4" max="4" width="15.7265625" style="2" customWidth="1"/>
    <col min="5" max="5" width="15.453125" style="2" customWidth="1"/>
    <col min="6" max="6" width="17.08984375" style="2" customWidth="1"/>
    <col min="7" max="7" width="15.26953125" style="2" customWidth="1"/>
    <col min="8" max="8" width="13" style="2" customWidth="1"/>
    <col min="9" max="9" width="18.7265625" style="2" bestFit="1" customWidth="1"/>
    <col min="10" max="10" width="13.36328125" style="2" bestFit="1" customWidth="1"/>
    <col min="11" max="11" width="17.6328125" style="2" customWidth="1"/>
    <col min="12" max="12" width="7.6328125" style="2" bestFit="1" customWidth="1"/>
    <col min="13" max="13" width="13" style="2" bestFit="1" customWidth="1"/>
    <col min="14" max="14" width="21.36328125" style="2" bestFit="1" customWidth="1"/>
    <col min="15" max="15" width="21.7265625" style="2" customWidth="1"/>
    <col min="16" max="16" width="18.7265625" style="2" customWidth="1"/>
    <col min="17" max="17" width="9.453125" style="3" bestFit="1" customWidth="1"/>
    <col min="18" max="18" width="20.36328125" style="3" bestFit="1" customWidth="1"/>
    <col min="19" max="19" width="9.7265625" style="4" customWidth="1"/>
    <col min="20" max="20" width="32" style="40" bestFit="1" customWidth="1"/>
    <col min="21" max="16384" width="10.7265625" style="1"/>
  </cols>
  <sheetData>
    <row r="1" spans="1:20" ht="21.6" thickBot="1" x14ac:dyDescent="0.45">
      <c r="C1" s="2" t="s">
        <v>0</v>
      </c>
      <c r="D1" s="6"/>
      <c r="E1" s="6"/>
      <c r="F1" s="6"/>
      <c r="G1" s="6"/>
      <c r="H1" s="6"/>
      <c r="I1" s="6"/>
      <c r="J1" s="6"/>
      <c r="K1" s="5"/>
      <c r="L1" s="5"/>
      <c r="M1" s="5"/>
      <c r="N1" s="5"/>
      <c r="O1" s="5"/>
      <c r="P1" s="5"/>
    </row>
    <row r="2" spans="1:20" ht="21.6" thickBot="1" x14ac:dyDescent="0.45">
      <c r="A2" s="14"/>
      <c r="B2" s="15"/>
      <c r="C2" s="16"/>
      <c r="D2" s="16"/>
      <c r="E2" s="16"/>
      <c r="F2" s="17" t="s">
        <v>1</v>
      </c>
      <c r="G2" s="16"/>
      <c r="H2" s="16"/>
      <c r="I2" s="16"/>
      <c r="J2" s="16"/>
      <c r="K2" s="18"/>
      <c r="L2" s="18"/>
      <c r="M2" s="19" t="s">
        <v>2</v>
      </c>
      <c r="N2" s="18"/>
      <c r="O2" s="18"/>
      <c r="P2" s="18"/>
      <c r="Q2" s="20"/>
      <c r="R2" s="21" t="s">
        <v>3</v>
      </c>
      <c r="S2" s="22"/>
      <c r="T2" s="41" t="s">
        <v>4</v>
      </c>
    </row>
    <row r="3" spans="1:20" ht="21.6" thickBot="1" x14ac:dyDescent="0.45">
      <c r="A3" s="14"/>
      <c r="B3" s="15" t="s">
        <v>5</v>
      </c>
      <c r="C3" s="23" t="s">
        <v>6</v>
      </c>
      <c r="D3" s="23" t="s">
        <v>7</v>
      </c>
      <c r="E3" s="23" t="s">
        <v>8</v>
      </c>
      <c r="F3" s="23" t="s">
        <v>9</v>
      </c>
      <c r="G3" s="23" t="s">
        <v>10</v>
      </c>
      <c r="H3" s="23" t="s">
        <v>11</v>
      </c>
      <c r="I3" s="23" t="s">
        <v>12</v>
      </c>
      <c r="J3" s="23" t="s">
        <v>13</v>
      </c>
      <c r="K3" s="24" t="s">
        <v>14</v>
      </c>
      <c r="L3" s="24" t="s">
        <v>15</v>
      </c>
      <c r="M3" s="24" t="s">
        <v>16</v>
      </c>
      <c r="N3" s="24" t="s">
        <v>17</v>
      </c>
      <c r="O3" s="24" t="s">
        <v>18</v>
      </c>
      <c r="P3" s="24" t="s">
        <v>19</v>
      </c>
      <c r="Q3" s="25" t="s">
        <v>20</v>
      </c>
      <c r="R3" s="25" t="s">
        <v>21</v>
      </c>
      <c r="S3" s="26" t="s">
        <v>22</v>
      </c>
      <c r="T3" s="42"/>
    </row>
    <row r="4" spans="1:20" x14ac:dyDescent="0.4">
      <c r="A4" s="52" t="s">
        <v>23</v>
      </c>
      <c r="B4" s="27" t="s">
        <v>24</v>
      </c>
      <c r="C4" s="28">
        <v>18</v>
      </c>
      <c r="D4" s="28">
        <v>10</v>
      </c>
      <c r="E4" s="28">
        <v>26</v>
      </c>
      <c r="F4" s="28">
        <v>0</v>
      </c>
      <c r="G4" s="28">
        <v>0</v>
      </c>
      <c r="H4" s="28">
        <v>28</v>
      </c>
      <c r="I4" s="28">
        <v>2</v>
      </c>
      <c r="J4" s="28">
        <v>2</v>
      </c>
      <c r="K4" s="29">
        <v>14</v>
      </c>
      <c r="L4" s="29">
        <v>4</v>
      </c>
      <c r="M4" s="29">
        <v>3</v>
      </c>
      <c r="N4" s="29">
        <v>7</v>
      </c>
      <c r="O4" s="29">
        <v>4</v>
      </c>
      <c r="P4" s="29">
        <v>3</v>
      </c>
      <c r="Q4" s="30">
        <v>28000</v>
      </c>
      <c r="R4" s="30">
        <v>41000</v>
      </c>
      <c r="S4" s="31">
        <f t="shared" ref="S4:S12" si="0">R4/Q4</f>
        <v>1.4642857142857142</v>
      </c>
      <c r="T4" s="51" t="s">
        <v>25</v>
      </c>
    </row>
    <row r="5" spans="1:20" x14ac:dyDescent="0.4">
      <c r="A5" s="50"/>
      <c r="B5" s="2" t="s">
        <v>26</v>
      </c>
      <c r="C5" s="6">
        <v>14</v>
      </c>
      <c r="D5" s="6">
        <v>8</v>
      </c>
      <c r="E5" s="6">
        <v>20</v>
      </c>
      <c r="F5" s="6">
        <v>0</v>
      </c>
      <c r="G5" s="6">
        <v>0</v>
      </c>
      <c r="H5" s="6">
        <v>22</v>
      </c>
      <c r="I5" s="6">
        <v>2</v>
      </c>
      <c r="J5" s="6">
        <v>2</v>
      </c>
      <c r="K5" s="5">
        <v>14</v>
      </c>
      <c r="L5" s="5">
        <v>4</v>
      </c>
      <c r="M5" s="5">
        <v>3</v>
      </c>
      <c r="N5" s="5">
        <v>7</v>
      </c>
      <c r="O5" s="5">
        <v>4</v>
      </c>
      <c r="P5" s="5">
        <v>3</v>
      </c>
      <c r="Q5" s="3">
        <v>16000</v>
      </c>
      <c r="R5" s="3">
        <v>24000</v>
      </c>
      <c r="S5" s="9">
        <f t="shared" si="0"/>
        <v>1.5</v>
      </c>
      <c r="T5" s="51"/>
    </row>
    <row r="6" spans="1:20" x14ac:dyDescent="0.4">
      <c r="A6" s="50"/>
      <c r="B6" s="2" t="s">
        <v>27</v>
      </c>
      <c r="C6" s="6">
        <v>14</v>
      </c>
      <c r="D6" s="6">
        <v>8</v>
      </c>
      <c r="E6" s="6">
        <v>20</v>
      </c>
      <c r="F6" s="6">
        <v>0</v>
      </c>
      <c r="G6" s="6">
        <v>0</v>
      </c>
      <c r="H6" s="6">
        <v>22</v>
      </c>
      <c r="I6" s="6">
        <v>2</v>
      </c>
      <c r="J6" s="6">
        <v>2</v>
      </c>
      <c r="K6" s="5">
        <v>12</v>
      </c>
      <c r="L6" s="5">
        <v>3</v>
      </c>
      <c r="M6" s="5">
        <v>3</v>
      </c>
      <c r="N6" s="5">
        <v>6</v>
      </c>
      <c r="O6" s="5">
        <v>3</v>
      </c>
      <c r="P6" s="5">
        <v>3</v>
      </c>
      <c r="Q6" s="3">
        <v>33000</v>
      </c>
      <c r="R6" s="3">
        <v>49000</v>
      </c>
      <c r="S6" s="9">
        <f t="shared" si="0"/>
        <v>1.4848484848484849</v>
      </c>
      <c r="T6" s="51"/>
    </row>
    <row r="7" spans="1:20" x14ac:dyDescent="0.4">
      <c r="A7" s="50"/>
      <c r="B7" s="2" t="s">
        <v>108</v>
      </c>
      <c r="C7" s="6">
        <v>16</v>
      </c>
      <c r="D7" s="6">
        <v>8</v>
      </c>
      <c r="E7" s="6">
        <v>22</v>
      </c>
      <c r="F7" s="6">
        <v>0</v>
      </c>
      <c r="G7" s="6">
        <v>0</v>
      </c>
      <c r="H7" s="6">
        <v>24</v>
      </c>
      <c r="I7" s="6">
        <v>2</v>
      </c>
      <c r="J7" s="6">
        <v>2</v>
      </c>
      <c r="K7" s="5">
        <v>14</v>
      </c>
      <c r="L7" s="5">
        <v>4</v>
      </c>
      <c r="M7" s="5">
        <v>3</v>
      </c>
      <c r="N7" s="5">
        <v>7</v>
      </c>
      <c r="O7" s="5">
        <v>4</v>
      </c>
      <c r="P7" s="5">
        <v>3</v>
      </c>
      <c r="Q7" s="3">
        <v>34000</v>
      </c>
      <c r="R7" s="3">
        <v>75000</v>
      </c>
      <c r="S7" s="9">
        <f t="shared" si="0"/>
        <v>2.2058823529411766</v>
      </c>
      <c r="T7" s="51"/>
    </row>
    <row r="8" spans="1:20" x14ac:dyDescent="0.4">
      <c r="A8" s="50"/>
      <c r="B8" s="2" t="s">
        <v>28</v>
      </c>
      <c r="C8" s="6">
        <v>28</v>
      </c>
      <c r="D8" s="6">
        <v>0</v>
      </c>
      <c r="E8" s="6">
        <v>26</v>
      </c>
      <c r="F8" s="6">
        <v>0</v>
      </c>
      <c r="G8" s="6">
        <v>0</v>
      </c>
      <c r="H8" s="6">
        <v>28</v>
      </c>
      <c r="I8" s="6">
        <f>F8+J8</f>
        <v>2</v>
      </c>
      <c r="J8" s="6">
        <v>2</v>
      </c>
      <c r="K8" s="5">
        <v>14</v>
      </c>
      <c r="L8" s="5">
        <v>4</v>
      </c>
      <c r="M8" s="5">
        <v>3</v>
      </c>
      <c r="N8" s="5">
        <v>7</v>
      </c>
      <c r="O8" s="5">
        <v>4</v>
      </c>
      <c r="P8" s="5">
        <v>3</v>
      </c>
      <c r="Q8" s="3">
        <v>15657</v>
      </c>
      <c r="R8" s="3">
        <v>27458</v>
      </c>
      <c r="S8" s="9">
        <f t="shared" si="0"/>
        <v>1.7537203806604076</v>
      </c>
      <c r="T8" s="51"/>
    </row>
    <row r="9" spans="1:20" x14ac:dyDescent="0.4">
      <c r="A9" s="50"/>
      <c r="B9" s="2" t="s">
        <v>29</v>
      </c>
      <c r="C9" s="6">
        <v>6</v>
      </c>
      <c r="D9" s="6">
        <v>0</v>
      </c>
      <c r="E9" s="6">
        <v>5</v>
      </c>
      <c r="F9" s="6">
        <v>0</v>
      </c>
      <c r="G9" s="6">
        <v>0</v>
      </c>
      <c r="H9" s="6">
        <v>6</v>
      </c>
      <c r="I9" s="6">
        <f>F9+J9</f>
        <v>1</v>
      </c>
      <c r="J9" s="6">
        <v>1</v>
      </c>
      <c r="K9" s="5">
        <v>4</v>
      </c>
      <c r="L9" s="5">
        <v>1</v>
      </c>
      <c r="M9" s="5">
        <v>1</v>
      </c>
      <c r="N9" s="5">
        <v>2</v>
      </c>
      <c r="O9" s="5">
        <v>1</v>
      </c>
      <c r="P9" s="5">
        <v>1</v>
      </c>
      <c r="Q9" s="3">
        <v>51232</v>
      </c>
      <c r="R9" s="3">
        <v>103451</v>
      </c>
      <c r="S9" s="9">
        <f t="shared" si="0"/>
        <v>2.0192653029356653</v>
      </c>
      <c r="T9" s="43" t="s">
        <v>30</v>
      </c>
    </row>
    <row r="10" spans="1:20" x14ac:dyDescent="0.4">
      <c r="A10" s="50"/>
      <c r="B10" s="2" t="s">
        <v>31</v>
      </c>
      <c r="C10" s="6">
        <v>6</v>
      </c>
      <c r="D10" s="6">
        <v>3</v>
      </c>
      <c r="E10" s="6">
        <v>8</v>
      </c>
      <c r="F10" s="6">
        <v>0</v>
      </c>
      <c r="G10" s="6">
        <v>0</v>
      </c>
      <c r="H10" s="6">
        <v>9</v>
      </c>
      <c r="I10" s="6">
        <v>1</v>
      </c>
      <c r="J10" s="6">
        <v>1</v>
      </c>
      <c r="K10" s="5">
        <v>4</v>
      </c>
      <c r="L10" s="5">
        <v>1</v>
      </c>
      <c r="M10" s="5">
        <v>1</v>
      </c>
      <c r="N10" s="5">
        <v>2</v>
      </c>
      <c r="O10" s="5">
        <v>1</v>
      </c>
      <c r="P10" s="5">
        <v>1</v>
      </c>
      <c r="Q10" s="3">
        <v>58000</v>
      </c>
      <c r="R10" s="3">
        <v>104000</v>
      </c>
      <c r="S10" s="9">
        <f t="shared" si="0"/>
        <v>1.7931034482758621</v>
      </c>
      <c r="T10" s="43" t="s">
        <v>25</v>
      </c>
    </row>
    <row r="11" spans="1:20" x14ac:dyDescent="0.4">
      <c r="A11" s="50"/>
      <c r="B11" s="2" t="s">
        <v>32</v>
      </c>
      <c r="C11" s="6">
        <v>34</v>
      </c>
      <c r="D11" s="6">
        <v>10</v>
      </c>
      <c r="E11" s="6">
        <v>40</v>
      </c>
      <c r="F11" s="6">
        <v>0</v>
      </c>
      <c r="G11" s="6">
        <v>0</v>
      </c>
      <c r="H11" s="6">
        <v>44</v>
      </c>
      <c r="I11" s="6">
        <f>F11+J11</f>
        <v>4</v>
      </c>
      <c r="J11" s="6">
        <v>4</v>
      </c>
      <c r="K11" s="5">
        <v>8</v>
      </c>
      <c r="L11" s="5">
        <v>2</v>
      </c>
      <c r="M11" s="5">
        <v>2</v>
      </c>
      <c r="N11" s="5">
        <v>4</v>
      </c>
      <c r="O11" s="5">
        <v>2</v>
      </c>
      <c r="P11" s="5">
        <v>2</v>
      </c>
      <c r="Q11" s="3">
        <v>30000</v>
      </c>
      <c r="R11" s="3">
        <v>52500</v>
      </c>
      <c r="S11" s="9">
        <f t="shared" si="0"/>
        <v>1.75</v>
      </c>
      <c r="T11" s="51" t="s">
        <v>33</v>
      </c>
    </row>
    <row r="12" spans="1:20" x14ac:dyDescent="0.4">
      <c r="A12" s="50"/>
      <c r="B12" s="2" t="s">
        <v>34</v>
      </c>
      <c r="C12" s="32">
        <v>38</v>
      </c>
      <c r="D12" s="32">
        <v>14</v>
      </c>
      <c r="E12" s="32">
        <v>44</v>
      </c>
      <c r="F12" s="32">
        <v>0</v>
      </c>
      <c r="G12" s="32">
        <v>0</v>
      </c>
      <c r="H12" s="32">
        <v>52</v>
      </c>
      <c r="I12" s="32">
        <v>8</v>
      </c>
      <c r="J12" s="32">
        <v>8</v>
      </c>
      <c r="K12" s="33">
        <v>16</v>
      </c>
      <c r="L12" s="33">
        <v>4</v>
      </c>
      <c r="M12" s="33">
        <v>4</v>
      </c>
      <c r="N12" s="33">
        <v>8</v>
      </c>
      <c r="O12" s="33">
        <v>4</v>
      </c>
      <c r="P12" s="33">
        <v>4</v>
      </c>
      <c r="Q12" s="3">
        <v>14000</v>
      </c>
      <c r="R12" s="3">
        <v>30000</v>
      </c>
      <c r="S12" s="9">
        <f t="shared" si="0"/>
        <v>2.1428571428571428</v>
      </c>
      <c r="T12" s="51"/>
    </row>
    <row r="13" spans="1:20" x14ac:dyDescent="0.4">
      <c r="A13" s="50"/>
      <c r="B13" s="2" t="s">
        <v>35</v>
      </c>
      <c r="C13" s="32">
        <v>44</v>
      </c>
      <c r="D13" s="32">
        <v>8</v>
      </c>
      <c r="E13" s="32">
        <v>44</v>
      </c>
      <c r="F13" s="32">
        <v>0</v>
      </c>
      <c r="G13" s="32">
        <v>0</v>
      </c>
      <c r="H13" s="32">
        <v>52</v>
      </c>
      <c r="I13" s="32">
        <v>8</v>
      </c>
      <c r="J13" s="32">
        <v>8</v>
      </c>
      <c r="K13" s="33">
        <v>16</v>
      </c>
      <c r="L13" s="33">
        <v>4</v>
      </c>
      <c r="M13" s="33">
        <v>4</v>
      </c>
      <c r="N13" s="33">
        <v>8</v>
      </c>
      <c r="O13" s="33">
        <v>4</v>
      </c>
      <c r="P13" s="33">
        <v>4</v>
      </c>
      <c r="Q13" s="3">
        <v>10600</v>
      </c>
      <c r="R13" s="3">
        <v>16500</v>
      </c>
      <c r="S13" s="9">
        <f t="shared" ref="S13:S26" si="1">R13/Q13</f>
        <v>1.5566037735849056</v>
      </c>
      <c r="T13" s="51"/>
    </row>
    <row r="14" spans="1:20" x14ac:dyDescent="0.4">
      <c r="A14" s="50"/>
      <c r="B14" s="2" t="s">
        <v>36</v>
      </c>
      <c r="C14" s="6">
        <v>14</v>
      </c>
      <c r="D14" s="6">
        <v>8</v>
      </c>
      <c r="E14" s="6">
        <v>20</v>
      </c>
      <c r="F14" s="6">
        <v>0</v>
      </c>
      <c r="G14" s="6">
        <v>0</v>
      </c>
      <c r="H14" s="6">
        <v>20</v>
      </c>
      <c r="I14" s="6">
        <f>F14+J14</f>
        <v>2</v>
      </c>
      <c r="J14" s="6">
        <v>2</v>
      </c>
      <c r="K14" s="5">
        <v>4</v>
      </c>
      <c r="L14" s="5">
        <v>1</v>
      </c>
      <c r="M14" s="5">
        <v>1</v>
      </c>
      <c r="N14" s="5">
        <v>2</v>
      </c>
      <c r="O14" s="5">
        <v>1</v>
      </c>
      <c r="P14" s="5">
        <v>1</v>
      </c>
      <c r="Q14" s="3">
        <v>62500</v>
      </c>
      <c r="R14" s="3">
        <v>172500</v>
      </c>
      <c r="S14" s="9">
        <f t="shared" si="1"/>
        <v>2.76</v>
      </c>
      <c r="T14" s="51"/>
    </row>
    <row r="15" spans="1:20" x14ac:dyDescent="0.4">
      <c r="A15" s="50"/>
      <c r="B15" s="2" t="s">
        <v>37</v>
      </c>
      <c r="C15" s="6">
        <v>20</v>
      </c>
      <c r="D15" s="6">
        <v>2</v>
      </c>
      <c r="E15" s="6">
        <v>20</v>
      </c>
      <c r="F15" s="6">
        <v>0</v>
      </c>
      <c r="G15" s="6">
        <v>0</v>
      </c>
      <c r="H15" s="6">
        <v>22</v>
      </c>
      <c r="I15" s="6">
        <f>F15+J15</f>
        <v>2</v>
      </c>
      <c r="J15" s="6">
        <v>2</v>
      </c>
      <c r="K15" s="5">
        <v>4</v>
      </c>
      <c r="L15" s="5">
        <v>1</v>
      </c>
      <c r="M15" s="5">
        <v>1</v>
      </c>
      <c r="N15" s="5">
        <v>2</v>
      </c>
      <c r="O15" s="5">
        <v>1</v>
      </c>
      <c r="P15" s="5">
        <v>1</v>
      </c>
      <c r="Q15" s="3">
        <v>14600</v>
      </c>
      <c r="R15" s="3">
        <v>26100</v>
      </c>
      <c r="S15" s="9">
        <f t="shared" si="1"/>
        <v>1.7876712328767124</v>
      </c>
      <c r="T15" s="51"/>
    </row>
    <row r="16" spans="1:20" x14ac:dyDescent="0.4">
      <c r="A16" s="50" t="s">
        <v>111</v>
      </c>
      <c r="B16" s="2" t="s">
        <v>74</v>
      </c>
      <c r="C16" s="6">
        <v>30</v>
      </c>
      <c r="D16" s="6">
        <v>14</v>
      </c>
      <c r="E16" s="6">
        <v>42</v>
      </c>
      <c r="F16" s="6">
        <v>2</v>
      </c>
      <c r="G16" s="6">
        <v>6</v>
      </c>
      <c r="H16" s="6">
        <v>36</v>
      </c>
      <c r="I16" s="6">
        <f>F16+J16</f>
        <v>4</v>
      </c>
      <c r="J16" s="6">
        <v>2</v>
      </c>
      <c r="K16" s="5">
        <v>19</v>
      </c>
      <c r="L16" s="5">
        <v>9</v>
      </c>
      <c r="M16" s="5">
        <v>3</v>
      </c>
      <c r="N16" s="5">
        <v>6</v>
      </c>
      <c r="O16" s="5">
        <v>6</v>
      </c>
      <c r="P16" s="5">
        <v>3</v>
      </c>
      <c r="Q16" s="3">
        <v>15000</v>
      </c>
      <c r="R16" s="3">
        <v>22500</v>
      </c>
      <c r="S16" s="9">
        <f t="shared" ref="S16:S21" si="2">R16/Q16</f>
        <v>1.5</v>
      </c>
      <c r="T16" s="51" t="s">
        <v>75</v>
      </c>
    </row>
    <row r="17" spans="1:20" x14ac:dyDescent="0.4">
      <c r="A17" s="50"/>
      <c r="B17" s="2" t="s">
        <v>76</v>
      </c>
      <c r="C17" s="6">
        <v>38</v>
      </c>
      <c r="D17" s="6">
        <v>18</v>
      </c>
      <c r="E17" s="6">
        <v>54</v>
      </c>
      <c r="F17" s="6">
        <v>2</v>
      </c>
      <c r="G17" s="6">
        <v>6</v>
      </c>
      <c r="H17" s="6">
        <v>48</v>
      </c>
      <c r="I17" s="6">
        <f>F17+J17</f>
        <v>4</v>
      </c>
      <c r="J17" s="6">
        <v>2</v>
      </c>
      <c r="K17" s="5">
        <v>19</v>
      </c>
      <c r="L17" s="5">
        <v>9</v>
      </c>
      <c r="M17" s="5">
        <v>3</v>
      </c>
      <c r="N17" s="5">
        <v>6</v>
      </c>
      <c r="O17" s="5">
        <v>6</v>
      </c>
      <c r="P17" s="5">
        <v>3</v>
      </c>
      <c r="Q17" s="3">
        <v>26000</v>
      </c>
      <c r="R17" s="3">
        <v>54600</v>
      </c>
      <c r="S17" s="9">
        <f t="shared" si="2"/>
        <v>2.1</v>
      </c>
      <c r="T17" s="51"/>
    </row>
    <row r="18" spans="1:20" x14ac:dyDescent="0.4">
      <c r="A18" s="50"/>
      <c r="B18" s="2" t="s">
        <v>77</v>
      </c>
      <c r="C18" s="6">
        <v>34</v>
      </c>
      <c r="D18" s="6">
        <v>10</v>
      </c>
      <c r="E18" s="6">
        <v>40</v>
      </c>
      <c r="F18" s="6">
        <v>2</v>
      </c>
      <c r="G18" s="6">
        <v>6</v>
      </c>
      <c r="H18" s="6">
        <v>36</v>
      </c>
      <c r="I18" s="6">
        <f>F18+J18</f>
        <v>6</v>
      </c>
      <c r="J18" s="6">
        <v>4</v>
      </c>
      <c r="K18" s="5">
        <v>14</v>
      </c>
      <c r="L18" s="5">
        <v>6</v>
      </c>
      <c r="M18" s="5">
        <v>2</v>
      </c>
      <c r="N18" s="5">
        <v>4</v>
      </c>
      <c r="O18" s="5">
        <v>4</v>
      </c>
      <c r="P18" s="5">
        <v>2</v>
      </c>
      <c r="Q18" s="3">
        <v>79400</v>
      </c>
      <c r="R18" s="3">
        <v>134900</v>
      </c>
      <c r="S18" s="9">
        <f t="shared" si="2"/>
        <v>1.698992443324937</v>
      </c>
      <c r="T18" s="51"/>
    </row>
    <row r="19" spans="1:20" x14ac:dyDescent="0.4">
      <c r="A19" s="50"/>
      <c r="B19" s="2" t="s">
        <v>78</v>
      </c>
      <c r="C19" s="32">
        <v>34</v>
      </c>
      <c r="D19" s="32">
        <v>10</v>
      </c>
      <c r="E19" s="32">
        <v>40</v>
      </c>
      <c r="F19" s="32">
        <v>0</v>
      </c>
      <c r="G19" s="32">
        <v>0</v>
      </c>
      <c r="H19" s="32">
        <v>44</v>
      </c>
      <c r="I19" s="32">
        <v>4</v>
      </c>
      <c r="J19" s="32">
        <v>4</v>
      </c>
      <c r="K19" s="33">
        <v>14</v>
      </c>
      <c r="L19" s="33">
        <v>6</v>
      </c>
      <c r="M19" s="33">
        <v>2</v>
      </c>
      <c r="N19" s="33">
        <v>4</v>
      </c>
      <c r="O19" s="33">
        <v>4</v>
      </c>
      <c r="P19" s="33">
        <v>2</v>
      </c>
      <c r="Q19" s="3">
        <v>38400</v>
      </c>
      <c r="R19" s="3">
        <v>69100</v>
      </c>
      <c r="S19" s="9">
        <f t="shared" si="2"/>
        <v>1.7994791666666667</v>
      </c>
      <c r="T19" s="51"/>
    </row>
    <row r="20" spans="1:20" x14ac:dyDescent="0.4">
      <c r="A20" s="50"/>
      <c r="B20" s="2" t="s">
        <v>79</v>
      </c>
      <c r="C20" s="6">
        <v>34</v>
      </c>
      <c r="D20" s="6">
        <v>16</v>
      </c>
      <c r="E20" s="6">
        <v>48</v>
      </c>
      <c r="F20" s="6">
        <v>2</v>
      </c>
      <c r="G20" s="6">
        <v>6</v>
      </c>
      <c r="H20" s="6">
        <v>42</v>
      </c>
      <c r="I20" s="6">
        <f>F20+J20</f>
        <v>4</v>
      </c>
      <c r="J20" s="6">
        <v>2</v>
      </c>
      <c r="K20" s="5">
        <v>19</v>
      </c>
      <c r="L20" s="5">
        <v>9</v>
      </c>
      <c r="M20" s="5">
        <v>3</v>
      </c>
      <c r="N20" s="5">
        <v>6</v>
      </c>
      <c r="O20" s="5">
        <v>6</v>
      </c>
      <c r="P20" s="5">
        <v>3</v>
      </c>
      <c r="Q20" s="3">
        <v>16000</v>
      </c>
      <c r="R20" s="3">
        <v>23500</v>
      </c>
      <c r="S20" s="9">
        <f t="shared" si="2"/>
        <v>1.46875</v>
      </c>
      <c r="T20" s="51"/>
    </row>
    <row r="21" spans="1:20" x14ac:dyDescent="0.4">
      <c r="A21" s="50"/>
      <c r="B21" s="2" t="s">
        <v>80</v>
      </c>
      <c r="C21" s="6">
        <v>34</v>
      </c>
      <c r="D21" s="6">
        <v>16</v>
      </c>
      <c r="E21" s="6">
        <v>48</v>
      </c>
      <c r="F21" s="6">
        <v>2</v>
      </c>
      <c r="G21" s="6">
        <v>6</v>
      </c>
      <c r="H21" s="6">
        <v>42</v>
      </c>
      <c r="I21" s="6">
        <f>F21+J21</f>
        <v>4</v>
      </c>
      <c r="J21" s="6">
        <v>2</v>
      </c>
      <c r="K21" s="5">
        <v>19</v>
      </c>
      <c r="L21" s="5">
        <v>9</v>
      </c>
      <c r="M21" s="5">
        <v>3</v>
      </c>
      <c r="N21" s="5">
        <v>6</v>
      </c>
      <c r="O21" s="5">
        <v>6</v>
      </c>
      <c r="P21" s="5">
        <v>3</v>
      </c>
      <c r="Q21" s="3">
        <v>19800</v>
      </c>
      <c r="R21" s="3">
        <v>34500</v>
      </c>
      <c r="S21" s="9">
        <f t="shared" si="2"/>
        <v>1.7424242424242424</v>
      </c>
      <c r="T21" s="51"/>
    </row>
    <row r="22" spans="1:20" x14ac:dyDescent="0.4">
      <c r="A22" s="50"/>
      <c r="B22" s="2" t="s">
        <v>81</v>
      </c>
      <c r="C22" s="6">
        <v>34</v>
      </c>
      <c r="D22" s="6">
        <v>16</v>
      </c>
      <c r="E22" s="6">
        <v>48</v>
      </c>
      <c r="F22" s="6">
        <v>2</v>
      </c>
      <c r="G22" s="6">
        <v>6</v>
      </c>
      <c r="H22" s="6">
        <v>42</v>
      </c>
      <c r="I22" s="6">
        <f>F22+J22</f>
        <v>4</v>
      </c>
      <c r="J22" s="6">
        <v>2</v>
      </c>
      <c r="K22" s="5">
        <v>19</v>
      </c>
      <c r="L22" s="5">
        <v>9</v>
      </c>
      <c r="M22" s="5">
        <v>3</v>
      </c>
      <c r="N22" s="5">
        <v>6</v>
      </c>
      <c r="O22" s="5">
        <v>6</v>
      </c>
      <c r="P22" s="5">
        <v>3</v>
      </c>
      <c r="Q22" s="3">
        <v>20000</v>
      </c>
      <c r="R22" s="3">
        <v>34000</v>
      </c>
      <c r="S22" s="9">
        <f>R22/Q22</f>
        <v>1.7</v>
      </c>
      <c r="T22" s="51"/>
    </row>
    <row r="23" spans="1:20" x14ac:dyDescent="0.4">
      <c r="A23" s="50" t="s">
        <v>112</v>
      </c>
      <c r="B23" s="2" t="s">
        <v>38</v>
      </c>
      <c r="C23" s="32">
        <v>16</v>
      </c>
      <c r="D23" s="32">
        <v>1</v>
      </c>
      <c r="E23" s="32">
        <v>16</v>
      </c>
      <c r="F23" s="32">
        <v>1</v>
      </c>
      <c r="G23" s="32">
        <v>2</v>
      </c>
      <c r="H23" s="32">
        <v>14</v>
      </c>
      <c r="I23" s="32">
        <v>2</v>
      </c>
      <c r="J23" s="32">
        <v>1</v>
      </c>
      <c r="K23" s="33">
        <v>12</v>
      </c>
      <c r="L23" s="33">
        <v>5</v>
      </c>
      <c r="M23" s="33">
        <v>2</v>
      </c>
      <c r="N23" s="33">
        <v>7</v>
      </c>
      <c r="O23" s="33">
        <v>3</v>
      </c>
      <c r="P23" s="33">
        <v>2</v>
      </c>
      <c r="Q23" s="3">
        <v>29000</v>
      </c>
      <c r="R23" s="3">
        <v>56000</v>
      </c>
      <c r="S23" s="9">
        <f t="shared" si="1"/>
        <v>1.9310344827586208</v>
      </c>
      <c r="T23" s="51" t="s">
        <v>25</v>
      </c>
    </row>
    <row r="24" spans="1:20" x14ac:dyDescent="0.4">
      <c r="A24" s="50"/>
      <c r="B24" s="2" t="s">
        <v>39</v>
      </c>
      <c r="C24" s="6">
        <v>10</v>
      </c>
      <c r="D24" s="6">
        <v>5</v>
      </c>
      <c r="E24" s="6">
        <v>14</v>
      </c>
      <c r="F24" s="6">
        <v>1</v>
      </c>
      <c r="G24" s="6">
        <v>2</v>
      </c>
      <c r="H24" s="6">
        <v>12</v>
      </c>
      <c r="I24" s="6">
        <f>F24+J24</f>
        <v>2</v>
      </c>
      <c r="J24" s="6">
        <v>1</v>
      </c>
      <c r="K24" s="5">
        <v>12</v>
      </c>
      <c r="L24" s="5">
        <v>5</v>
      </c>
      <c r="M24" s="5">
        <v>2</v>
      </c>
      <c r="N24" s="5">
        <v>7</v>
      </c>
      <c r="O24" s="5">
        <v>3</v>
      </c>
      <c r="P24" s="5">
        <v>2</v>
      </c>
      <c r="Q24" s="3">
        <v>56000</v>
      </c>
      <c r="R24" s="3">
        <v>154000</v>
      </c>
      <c r="S24" s="9">
        <f t="shared" si="1"/>
        <v>2.75</v>
      </c>
      <c r="T24" s="51"/>
    </row>
    <row r="25" spans="1:20" x14ac:dyDescent="0.4">
      <c r="A25" s="50"/>
      <c r="B25" s="2" t="s">
        <v>40</v>
      </c>
      <c r="C25" s="6">
        <v>14</v>
      </c>
      <c r="D25" s="6">
        <v>7</v>
      </c>
      <c r="E25" s="6">
        <v>20</v>
      </c>
      <c r="F25" s="6">
        <v>1</v>
      </c>
      <c r="G25" s="6">
        <v>2</v>
      </c>
      <c r="H25" s="6">
        <v>18</v>
      </c>
      <c r="I25" s="6">
        <f>F25+J25</f>
        <v>2</v>
      </c>
      <c r="J25" s="6">
        <v>1</v>
      </c>
      <c r="K25" s="5">
        <v>12</v>
      </c>
      <c r="L25" s="5">
        <v>5</v>
      </c>
      <c r="M25" s="5">
        <v>2</v>
      </c>
      <c r="N25" s="5">
        <v>7</v>
      </c>
      <c r="O25" s="5">
        <v>3</v>
      </c>
      <c r="P25" s="5">
        <v>2</v>
      </c>
      <c r="Q25" s="3">
        <v>110000</v>
      </c>
      <c r="R25" s="3">
        <v>257000</v>
      </c>
      <c r="S25" s="9">
        <f t="shared" si="1"/>
        <v>2.3363636363636364</v>
      </c>
      <c r="T25" s="51"/>
    </row>
    <row r="26" spans="1:20" x14ac:dyDescent="0.4">
      <c r="A26" s="50"/>
      <c r="B26" s="2" t="s">
        <v>41</v>
      </c>
      <c r="C26" s="32">
        <v>17</v>
      </c>
      <c r="D26" s="32">
        <v>9</v>
      </c>
      <c r="E26" s="32">
        <v>25</v>
      </c>
      <c r="F26" s="32">
        <v>1</v>
      </c>
      <c r="G26" s="32">
        <v>1</v>
      </c>
      <c r="H26" s="32">
        <v>24</v>
      </c>
      <c r="I26" s="32">
        <v>2</v>
      </c>
      <c r="J26" s="32">
        <v>1</v>
      </c>
      <c r="K26" s="33">
        <v>12</v>
      </c>
      <c r="L26" s="33">
        <v>5</v>
      </c>
      <c r="M26" s="33">
        <v>2</v>
      </c>
      <c r="N26" s="33">
        <v>7</v>
      </c>
      <c r="O26" s="33">
        <v>3</v>
      </c>
      <c r="P26" s="33">
        <v>2</v>
      </c>
      <c r="Q26" s="3">
        <v>48000</v>
      </c>
      <c r="R26" s="3">
        <v>91000</v>
      </c>
      <c r="S26" s="9">
        <f t="shared" si="1"/>
        <v>1.8958333333333333</v>
      </c>
      <c r="T26" s="51"/>
    </row>
    <row r="27" spans="1:20" x14ac:dyDescent="0.4">
      <c r="A27" s="50"/>
      <c r="B27" s="2" t="s">
        <v>42</v>
      </c>
      <c r="C27" s="6">
        <v>13</v>
      </c>
      <c r="D27" s="6">
        <v>7</v>
      </c>
      <c r="E27" s="6">
        <v>19</v>
      </c>
      <c r="F27" s="6">
        <v>0</v>
      </c>
      <c r="G27" s="6">
        <v>0</v>
      </c>
      <c r="H27" s="6">
        <v>20</v>
      </c>
      <c r="I27" s="6">
        <f t="shared" ref="I27:I34" si="3">F27+J27</f>
        <v>1</v>
      </c>
      <c r="J27" s="6">
        <v>1</v>
      </c>
      <c r="K27" s="5">
        <v>12</v>
      </c>
      <c r="L27" s="5">
        <v>5</v>
      </c>
      <c r="M27" s="5">
        <v>2</v>
      </c>
      <c r="N27" s="5">
        <v>7</v>
      </c>
      <c r="O27" s="5">
        <v>3</v>
      </c>
      <c r="P27" s="5">
        <v>2</v>
      </c>
      <c r="Q27" s="3">
        <v>11000</v>
      </c>
      <c r="R27" s="3">
        <v>26000</v>
      </c>
      <c r="S27" s="9">
        <f t="shared" ref="S27:S37" si="4">R27/Q27</f>
        <v>2.3636363636363638</v>
      </c>
      <c r="T27" s="51"/>
    </row>
    <row r="28" spans="1:20" x14ac:dyDescent="0.4">
      <c r="A28" s="50"/>
      <c r="B28" s="2" t="s">
        <v>43</v>
      </c>
      <c r="C28" s="6">
        <v>18</v>
      </c>
      <c r="D28" s="6">
        <v>9</v>
      </c>
      <c r="E28" s="6">
        <v>26</v>
      </c>
      <c r="F28" s="6">
        <v>1</v>
      </c>
      <c r="G28" s="6">
        <v>2</v>
      </c>
      <c r="H28" s="6">
        <v>24</v>
      </c>
      <c r="I28" s="6">
        <f t="shared" si="3"/>
        <v>2</v>
      </c>
      <c r="J28" s="6">
        <v>1</v>
      </c>
      <c r="K28" s="5">
        <v>12</v>
      </c>
      <c r="L28" s="5">
        <v>5</v>
      </c>
      <c r="M28" s="5">
        <v>2</v>
      </c>
      <c r="N28" s="5">
        <v>7</v>
      </c>
      <c r="O28" s="5">
        <v>3</v>
      </c>
      <c r="P28" s="5">
        <v>2</v>
      </c>
      <c r="Q28" s="3">
        <v>52000</v>
      </c>
      <c r="R28" s="3">
        <v>98000</v>
      </c>
      <c r="S28" s="9">
        <f t="shared" si="4"/>
        <v>1.8846153846153846</v>
      </c>
      <c r="T28" s="51"/>
    </row>
    <row r="29" spans="1:20" x14ac:dyDescent="0.4">
      <c r="A29" s="50" t="s">
        <v>44</v>
      </c>
      <c r="B29" s="2" t="s">
        <v>45</v>
      </c>
      <c r="C29" s="6">
        <v>40</v>
      </c>
      <c r="D29" s="6">
        <v>0</v>
      </c>
      <c r="E29" s="6">
        <v>38</v>
      </c>
      <c r="F29" s="6">
        <v>2</v>
      </c>
      <c r="G29" s="6">
        <v>2</v>
      </c>
      <c r="H29" s="6">
        <v>36</v>
      </c>
      <c r="I29" s="6">
        <f t="shared" si="3"/>
        <v>4</v>
      </c>
      <c r="J29" s="6">
        <v>2</v>
      </c>
      <c r="K29" s="5">
        <v>22</v>
      </c>
      <c r="L29" s="5">
        <v>8</v>
      </c>
      <c r="M29" s="5">
        <v>3</v>
      </c>
      <c r="N29" s="5">
        <v>13</v>
      </c>
      <c r="O29" s="5">
        <v>6</v>
      </c>
      <c r="P29" s="5">
        <v>3</v>
      </c>
      <c r="Q29" s="3">
        <v>3600</v>
      </c>
      <c r="R29" s="3">
        <v>5400</v>
      </c>
      <c r="S29" s="9">
        <f t="shared" si="4"/>
        <v>1.5</v>
      </c>
      <c r="T29" s="51" t="s">
        <v>46</v>
      </c>
    </row>
    <row r="30" spans="1:20" x14ac:dyDescent="0.4">
      <c r="A30" s="50"/>
      <c r="B30" s="2" t="s">
        <v>47</v>
      </c>
      <c r="C30" s="6">
        <v>40</v>
      </c>
      <c r="D30" s="6">
        <v>0</v>
      </c>
      <c r="E30" s="6">
        <v>38</v>
      </c>
      <c r="F30" s="6">
        <v>2</v>
      </c>
      <c r="G30" s="6">
        <v>2</v>
      </c>
      <c r="H30" s="6">
        <v>36</v>
      </c>
      <c r="I30" s="6">
        <f t="shared" si="3"/>
        <v>4</v>
      </c>
      <c r="J30" s="6">
        <v>2</v>
      </c>
      <c r="K30" s="5">
        <v>22</v>
      </c>
      <c r="L30" s="5">
        <v>8</v>
      </c>
      <c r="M30" s="5">
        <v>3</v>
      </c>
      <c r="N30" s="5">
        <v>13</v>
      </c>
      <c r="O30" s="5">
        <v>6</v>
      </c>
      <c r="P30" s="5">
        <v>3</v>
      </c>
      <c r="Q30" s="3">
        <v>5700</v>
      </c>
      <c r="R30" s="3">
        <v>11400</v>
      </c>
      <c r="S30" s="9">
        <f t="shared" si="4"/>
        <v>2</v>
      </c>
      <c r="T30" s="51"/>
    </row>
    <row r="31" spans="1:20" x14ac:dyDescent="0.4">
      <c r="A31" s="50"/>
      <c r="B31" s="2" t="s">
        <v>48</v>
      </c>
      <c r="C31" s="6">
        <v>40</v>
      </c>
      <c r="D31" s="6">
        <v>0</v>
      </c>
      <c r="E31" s="6">
        <v>38</v>
      </c>
      <c r="F31" s="6">
        <v>2</v>
      </c>
      <c r="G31" s="6">
        <v>2</v>
      </c>
      <c r="H31" s="6">
        <v>36</v>
      </c>
      <c r="I31" s="6">
        <f t="shared" si="3"/>
        <v>4</v>
      </c>
      <c r="J31" s="6">
        <v>2</v>
      </c>
      <c r="K31" s="5">
        <v>22</v>
      </c>
      <c r="L31" s="5">
        <v>8</v>
      </c>
      <c r="M31" s="5">
        <v>3</v>
      </c>
      <c r="N31" s="5">
        <v>13</v>
      </c>
      <c r="O31" s="5">
        <v>6</v>
      </c>
      <c r="P31" s="5">
        <v>3</v>
      </c>
      <c r="Q31" s="3">
        <v>9100</v>
      </c>
      <c r="R31" s="3">
        <v>19000</v>
      </c>
      <c r="S31" s="9">
        <f t="shared" si="4"/>
        <v>2.087912087912088</v>
      </c>
      <c r="T31" s="51"/>
    </row>
    <row r="32" spans="1:20" x14ac:dyDescent="0.4">
      <c r="A32" s="50"/>
      <c r="B32" s="2" t="s">
        <v>49</v>
      </c>
      <c r="C32" s="6">
        <v>40</v>
      </c>
      <c r="D32" s="6">
        <v>0</v>
      </c>
      <c r="E32" s="6">
        <v>38</v>
      </c>
      <c r="F32" s="6">
        <v>2</v>
      </c>
      <c r="G32" s="6">
        <v>2</v>
      </c>
      <c r="H32" s="6">
        <v>36</v>
      </c>
      <c r="I32" s="6">
        <f t="shared" si="3"/>
        <v>4</v>
      </c>
      <c r="J32" s="6">
        <v>2</v>
      </c>
      <c r="K32" s="5">
        <v>22</v>
      </c>
      <c r="L32" s="5">
        <v>8</v>
      </c>
      <c r="M32" s="5">
        <v>3</v>
      </c>
      <c r="N32" s="5">
        <v>13</v>
      </c>
      <c r="O32" s="5">
        <v>6</v>
      </c>
      <c r="P32" s="5">
        <v>3</v>
      </c>
      <c r="Q32" s="3">
        <v>22000</v>
      </c>
      <c r="R32" s="3">
        <v>55000</v>
      </c>
      <c r="S32" s="9">
        <f t="shared" si="4"/>
        <v>2.5</v>
      </c>
      <c r="T32" s="51"/>
    </row>
    <row r="33" spans="1:20" x14ac:dyDescent="0.4">
      <c r="A33" s="50"/>
      <c r="B33" s="2" t="s">
        <v>50</v>
      </c>
      <c r="C33" s="6">
        <v>40</v>
      </c>
      <c r="D33" s="6">
        <v>0</v>
      </c>
      <c r="E33" s="6">
        <v>38</v>
      </c>
      <c r="F33" s="6">
        <v>2</v>
      </c>
      <c r="G33" s="6">
        <v>2</v>
      </c>
      <c r="H33" s="6">
        <v>36</v>
      </c>
      <c r="I33" s="6">
        <f t="shared" si="3"/>
        <v>4</v>
      </c>
      <c r="J33" s="6">
        <v>2</v>
      </c>
      <c r="K33" s="5">
        <v>22</v>
      </c>
      <c r="L33" s="5">
        <v>8</v>
      </c>
      <c r="M33" s="5">
        <v>3</v>
      </c>
      <c r="N33" s="5">
        <v>13</v>
      </c>
      <c r="O33" s="5">
        <v>6</v>
      </c>
      <c r="P33" s="5">
        <v>3</v>
      </c>
      <c r="Q33" s="3">
        <v>50000</v>
      </c>
      <c r="R33" s="3">
        <v>125000</v>
      </c>
      <c r="S33" s="9">
        <f t="shared" si="4"/>
        <v>2.5</v>
      </c>
      <c r="T33" s="51"/>
    </row>
    <row r="34" spans="1:20" x14ac:dyDescent="0.4">
      <c r="A34" s="50"/>
      <c r="B34" s="2" t="s">
        <v>51</v>
      </c>
      <c r="C34" s="6">
        <v>40</v>
      </c>
      <c r="D34" s="6">
        <v>0</v>
      </c>
      <c r="E34" s="6">
        <v>38</v>
      </c>
      <c r="F34" s="6">
        <v>2</v>
      </c>
      <c r="G34" s="6">
        <v>2</v>
      </c>
      <c r="H34" s="6">
        <v>36</v>
      </c>
      <c r="I34" s="6">
        <f t="shared" si="3"/>
        <v>4</v>
      </c>
      <c r="J34" s="6">
        <v>2</v>
      </c>
      <c r="K34" s="5">
        <v>22</v>
      </c>
      <c r="L34" s="5">
        <v>8</v>
      </c>
      <c r="M34" s="5">
        <v>3</v>
      </c>
      <c r="N34" s="5">
        <v>13</v>
      </c>
      <c r="O34" s="5">
        <v>6</v>
      </c>
      <c r="P34" s="5">
        <v>3</v>
      </c>
      <c r="Q34" s="3">
        <v>130000</v>
      </c>
      <c r="R34" s="3">
        <v>195000</v>
      </c>
      <c r="S34" s="9">
        <f t="shared" si="4"/>
        <v>1.5</v>
      </c>
      <c r="T34" s="51"/>
    </row>
    <row r="35" spans="1:20" x14ac:dyDescent="0.4">
      <c r="A35" s="50"/>
      <c r="B35" s="2" t="s">
        <v>109</v>
      </c>
      <c r="C35" s="6">
        <v>28</v>
      </c>
      <c r="D35" s="6">
        <v>12</v>
      </c>
      <c r="E35" s="6">
        <v>38</v>
      </c>
      <c r="F35" s="6">
        <v>2</v>
      </c>
      <c r="G35" s="6">
        <v>2</v>
      </c>
      <c r="H35" s="6">
        <v>36</v>
      </c>
      <c r="I35" s="6">
        <v>4</v>
      </c>
      <c r="J35" s="6">
        <v>2</v>
      </c>
      <c r="K35" s="5">
        <v>22</v>
      </c>
      <c r="L35" s="5">
        <v>8</v>
      </c>
      <c r="M35" s="5">
        <v>3</v>
      </c>
      <c r="N35" s="5">
        <v>13</v>
      </c>
      <c r="O35" s="5">
        <v>6</v>
      </c>
      <c r="P35" s="5">
        <v>3</v>
      </c>
      <c r="Q35" s="3">
        <v>42000</v>
      </c>
      <c r="R35" s="3">
        <v>92000</v>
      </c>
      <c r="S35" s="9">
        <f t="shared" si="4"/>
        <v>2.1904761904761907</v>
      </c>
      <c r="T35" s="43" t="s">
        <v>25</v>
      </c>
    </row>
    <row r="36" spans="1:20" x14ac:dyDescent="0.4">
      <c r="A36" s="50"/>
      <c r="B36" s="2" t="s">
        <v>52</v>
      </c>
      <c r="C36" s="32">
        <v>20</v>
      </c>
      <c r="D36" s="32">
        <v>8</v>
      </c>
      <c r="E36" s="32">
        <v>26</v>
      </c>
      <c r="F36" s="32">
        <v>0</v>
      </c>
      <c r="G36" s="32">
        <v>0</v>
      </c>
      <c r="H36" s="32">
        <v>28</v>
      </c>
      <c r="I36" s="32">
        <v>2</v>
      </c>
      <c r="J36" s="32">
        <v>2</v>
      </c>
      <c r="K36" s="33">
        <v>18</v>
      </c>
      <c r="L36" s="33">
        <v>7</v>
      </c>
      <c r="M36" s="33">
        <v>2</v>
      </c>
      <c r="N36" s="33">
        <v>11</v>
      </c>
      <c r="O36" s="33">
        <v>5</v>
      </c>
      <c r="P36" s="33">
        <v>2</v>
      </c>
      <c r="Q36" s="34">
        <v>12555</v>
      </c>
      <c r="R36" s="34">
        <v>33742</v>
      </c>
      <c r="S36" s="9">
        <f t="shared" si="4"/>
        <v>2.6875348466746316</v>
      </c>
      <c r="T36" s="51" t="s">
        <v>102</v>
      </c>
    </row>
    <row r="37" spans="1:20" x14ac:dyDescent="0.4">
      <c r="A37" s="50"/>
      <c r="B37" s="2" t="s">
        <v>53</v>
      </c>
      <c r="C37" s="32">
        <v>26</v>
      </c>
      <c r="D37" s="32">
        <v>8</v>
      </c>
      <c r="E37" s="32">
        <v>32</v>
      </c>
      <c r="F37" s="32">
        <v>0</v>
      </c>
      <c r="G37" s="32">
        <v>0</v>
      </c>
      <c r="H37" s="32">
        <v>34</v>
      </c>
      <c r="I37" s="32">
        <v>2</v>
      </c>
      <c r="J37" s="32">
        <v>2</v>
      </c>
      <c r="K37" s="33">
        <v>18</v>
      </c>
      <c r="L37" s="33">
        <v>7</v>
      </c>
      <c r="M37" s="33">
        <v>2</v>
      </c>
      <c r="N37" s="33">
        <v>11</v>
      </c>
      <c r="O37" s="33">
        <v>5</v>
      </c>
      <c r="P37" s="33">
        <v>2</v>
      </c>
      <c r="Q37" s="34">
        <v>14990</v>
      </c>
      <c r="R37" s="34">
        <v>37950</v>
      </c>
      <c r="S37" s="9">
        <f t="shared" si="4"/>
        <v>2.5316877918612408</v>
      </c>
      <c r="T37" s="51"/>
    </row>
    <row r="38" spans="1:20" x14ac:dyDescent="0.4">
      <c r="A38" s="50" t="s">
        <v>113</v>
      </c>
      <c r="B38" s="2" t="s">
        <v>54</v>
      </c>
      <c r="C38" s="6">
        <v>44</v>
      </c>
      <c r="D38" s="6">
        <v>0</v>
      </c>
      <c r="E38" s="6">
        <v>42</v>
      </c>
      <c r="F38" s="6">
        <v>2</v>
      </c>
      <c r="G38" s="6">
        <v>2</v>
      </c>
      <c r="H38" s="6">
        <v>40</v>
      </c>
      <c r="I38" s="6">
        <f t="shared" ref="I38:I43" si="5">F38+J38</f>
        <v>4</v>
      </c>
      <c r="J38" s="6">
        <v>2</v>
      </c>
      <c r="K38" s="5">
        <v>16</v>
      </c>
      <c r="L38" s="5">
        <v>4</v>
      </c>
      <c r="M38" s="5">
        <v>1</v>
      </c>
      <c r="N38" s="5">
        <v>9</v>
      </c>
      <c r="O38" s="5">
        <v>4</v>
      </c>
      <c r="P38" s="5">
        <v>1</v>
      </c>
      <c r="Q38" s="3">
        <v>39850</v>
      </c>
      <c r="R38" s="3">
        <v>144213</v>
      </c>
      <c r="S38" s="9">
        <f t="shared" ref="S38:S45" si="6">R38/Q38</f>
        <v>3.6188958594730241</v>
      </c>
      <c r="T38" s="51" t="s">
        <v>55</v>
      </c>
    </row>
    <row r="39" spans="1:20" x14ac:dyDescent="0.4">
      <c r="A39" s="50"/>
      <c r="B39" s="2" t="s">
        <v>56</v>
      </c>
      <c r="C39" s="6">
        <v>44</v>
      </c>
      <c r="D39" s="6">
        <v>0</v>
      </c>
      <c r="E39" s="6">
        <v>42</v>
      </c>
      <c r="F39" s="6">
        <v>2</v>
      </c>
      <c r="G39" s="6">
        <v>2</v>
      </c>
      <c r="H39" s="6">
        <v>40</v>
      </c>
      <c r="I39" s="6">
        <f t="shared" si="5"/>
        <v>4</v>
      </c>
      <c r="J39" s="6">
        <v>2</v>
      </c>
      <c r="K39" s="5">
        <v>20</v>
      </c>
      <c r="L39" s="5">
        <v>5</v>
      </c>
      <c r="M39" s="5">
        <v>2</v>
      </c>
      <c r="N39" s="5">
        <v>11</v>
      </c>
      <c r="O39" s="5">
        <v>5</v>
      </c>
      <c r="P39" s="5">
        <v>2</v>
      </c>
      <c r="Q39" s="3">
        <v>29218</v>
      </c>
      <c r="R39" s="3">
        <v>67518</v>
      </c>
      <c r="S39" s="9">
        <f t="shared" si="6"/>
        <v>2.3108357861592168</v>
      </c>
      <c r="T39" s="51"/>
    </row>
    <row r="40" spans="1:20" x14ac:dyDescent="0.4">
      <c r="A40" s="50"/>
      <c r="B40" s="2" t="s">
        <v>57</v>
      </c>
      <c r="C40" s="6">
        <v>44</v>
      </c>
      <c r="D40" s="6">
        <v>0</v>
      </c>
      <c r="E40" s="6">
        <v>42</v>
      </c>
      <c r="F40" s="6">
        <v>2</v>
      </c>
      <c r="G40" s="6">
        <v>2</v>
      </c>
      <c r="H40" s="6">
        <v>40</v>
      </c>
      <c r="I40" s="6">
        <f t="shared" si="5"/>
        <v>4</v>
      </c>
      <c r="J40" s="6">
        <v>2</v>
      </c>
      <c r="K40" s="5">
        <v>22</v>
      </c>
      <c r="L40" s="5">
        <v>6</v>
      </c>
      <c r="M40" s="5">
        <v>2</v>
      </c>
      <c r="N40" s="5">
        <v>12</v>
      </c>
      <c r="O40" s="5">
        <v>6</v>
      </c>
      <c r="P40" s="5">
        <v>2</v>
      </c>
      <c r="Q40" s="3">
        <v>13087</v>
      </c>
      <c r="R40" s="3">
        <v>34700</v>
      </c>
      <c r="S40" s="9">
        <f t="shared" si="6"/>
        <v>2.6514862076870176</v>
      </c>
      <c r="T40" s="51"/>
    </row>
    <row r="41" spans="1:20" x14ac:dyDescent="0.4">
      <c r="A41" s="50"/>
      <c r="B41" s="2" t="s">
        <v>58</v>
      </c>
      <c r="C41" s="6">
        <v>44</v>
      </c>
      <c r="D41" s="6">
        <v>0</v>
      </c>
      <c r="E41" s="6">
        <v>42</v>
      </c>
      <c r="F41" s="6">
        <v>2</v>
      </c>
      <c r="G41" s="6">
        <v>2</v>
      </c>
      <c r="H41" s="6">
        <v>40</v>
      </c>
      <c r="I41" s="6">
        <f t="shared" si="5"/>
        <v>4</v>
      </c>
      <c r="J41" s="6">
        <v>2</v>
      </c>
      <c r="K41" s="5">
        <v>20</v>
      </c>
      <c r="L41" s="5">
        <v>8</v>
      </c>
      <c r="M41" s="5">
        <v>3</v>
      </c>
      <c r="N41" s="5">
        <v>11</v>
      </c>
      <c r="O41" s="5">
        <v>6</v>
      </c>
      <c r="P41" s="5">
        <v>3</v>
      </c>
      <c r="Q41" s="3">
        <v>21232</v>
      </c>
      <c r="R41" s="3">
        <v>73451</v>
      </c>
      <c r="S41" s="9">
        <f t="shared" si="6"/>
        <v>3.4594480030143182</v>
      </c>
      <c r="T41" s="51"/>
    </row>
    <row r="42" spans="1:20" x14ac:dyDescent="0.4">
      <c r="A42" s="50"/>
      <c r="B42" s="2" t="s">
        <v>59</v>
      </c>
      <c r="C42" s="6">
        <v>44</v>
      </c>
      <c r="D42" s="6">
        <v>0</v>
      </c>
      <c r="E42" s="6">
        <v>42</v>
      </c>
      <c r="F42" s="6">
        <v>2</v>
      </c>
      <c r="G42" s="6">
        <v>2</v>
      </c>
      <c r="H42" s="6">
        <v>40</v>
      </c>
      <c r="I42" s="6">
        <f t="shared" si="5"/>
        <v>4</v>
      </c>
      <c r="J42" s="6">
        <v>2</v>
      </c>
      <c r="K42" s="5">
        <v>28</v>
      </c>
      <c r="L42" s="5">
        <v>7</v>
      </c>
      <c r="M42" s="5">
        <v>4</v>
      </c>
      <c r="N42" s="5">
        <v>15</v>
      </c>
      <c r="O42" s="5">
        <v>7</v>
      </c>
      <c r="P42" s="5">
        <v>4</v>
      </c>
      <c r="Q42" s="3">
        <v>8333</v>
      </c>
      <c r="R42" s="3">
        <v>20330</v>
      </c>
      <c r="S42" s="9">
        <f t="shared" si="6"/>
        <v>2.4396975879035163</v>
      </c>
      <c r="T42" s="51"/>
    </row>
    <row r="43" spans="1:20" x14ac:dyDescent="0.4">
      <c r="A43" s="50"/>
      <c r="B43" s="2" t="s">
        <v>60</v>
      </c>
      <c r="C43" s="6">
        <v>44</v>
      </c>
      <c r="D43" s="6">
        <v>0</v>
      </c>
      <c r="E43" s="6">
        <v>42</v>
      </c>
      <c r="F43" s="6">
        <v>2</v>
      </c>
      <c r="G43" s="6">
        <v>2</v>
      </c>
      <c r="H43" s="6">
        <v>40</v>
      </c>
      <c r="I43" s="6">
        <f t="shared" si="5"/>
        <v>4</v>
      </c>
      <c r="J43" s="6">
        <v>2</v>
      </c>
      <c r="K43" s="5">
        <v>24</v>
      </c>
      <c r="L43" s="5">
        <v>7</v>
      </c>
      <c r="M43" s="5">
        <v>2</v>
      </c>
      <c r="N43" s="5">
        <v>13</v>
      </c>
      <c r="O43" s="5">
        <v>7</v>
      </c>
      <c r="P43" s="5">
        <v>2</v>
      </c>
      <c r="Q43" s="3">
        <v>9232</v>
      </c>
      <c r="R43" s="3">
        <v>20794</v>
      </c>
      <c r="S43" s="9">
        <f t="shared" si="6"/>
        <v>2.2523830155979203</v>
      </c>
      <c r="T43" s="51"/>
    </row>
    <row r="44" spans="1:20" x14ac:dyDescent="0.4">
      <c r="A44" s="50"/>
      <c r="B44" s="2" t="s">
        <v>61</v>
      </c>
      <c r="C44" s="6">
        <v>40</v>
      </c>
      <c r="D44" s="6">
        <v>0</v>
      </c>
      <c r="E44" s="6">
        <v>38</v>
      </c>
      <c r="F44" s="6">
        <v>2</v>
      </c>
      <c r="G44" s="6">
        <v>2</v>
      </c>
      <c r="H44" s="6">
        <v>36</v>
      </c>
      <c r="I44" s="6">
        <v>4</v>
      </c>
      <c r="J44" s="6">
        <v>2</v>
      </c>
      <c r="K44" s="5">
        <v>24</v>
      </c>
      <c r="L44" s="5">
        <v>6</v>
      </c>
      <c r="M44" s="5">
        <v>3</v>
      </c>
      <c r="N44" s="5">
        <v>13</v>
      </c>
      <c r="O44" s="5">
        <v>6</v>
      </c>
      <c r="P44" s="5">
        <v>3</v>
      </c>
      <c r="Q44" s="3">
        <v>16500</v>
      </c>
      <c r="R44" s="3">
        <v>61400</v>
      </c>
      <c r="S44" s="9">
        <f t="shared" si="6"/>
        <v>3.7212121212121212</v>
      </c>
      <c r="T44" s="51"/>
    </row>
    <row r="45" spans="1:20" x14ac:dyDescent="0.4">
      <c r="A45" s="50"/>
      <c r="B45" s="2" t="s">
        <v>62</v>
      </c>
      <c r="C45" s="6">
        <v>44</v>
      </c>
      <c r="D45" s="6">
        <v>0</v>
      </c>
      <c r="E45" s="6">
        <v>42</v>
      </c>
      <c r="F45" s="6">
        <v>2</v>
      </c>
      <c r="G45" s="6">
        <v>2</v>
      </c>
      <c r="H45" s="6">
        <v>40</v>
      </c>
      <c r="I45" s="6">
        <f t="shared" ref="I45:I52" si="7">F45+J45</f>
        <v>4</v>
      </c>
      <c r="J45" s="6">
        <v>2</v>
      </c>
      <c r="K45" s="5">
        <v>24</v>
      </c>
      <c r="L45" s="5">
        <v>6</v>
      </c>
      <c r="M45" s="5">
        <v>3</v>
      </c>
      <c r="N45" s="5">
        <v>13</v>
      </c>
      <c r="O45" s="5">
        <v>6</v>
      </c>
      <c r="P45" s="5">
        <v>3</v>
      </c>
      <c r="Q45" s="3">
        <v>18842</v>
      </c>
      <c r="R45" s="3">
        <v>70634</v>
      </c>
      <c r="S45" s="9">
        <f t="shared" si="6"/>
        <v>3.7487527863284154</v>
      </c>
      <c r="T45" s="51"/>
    </row>
    <row r="46" spans="1:20" x14ac:dyDescent="0.4">
      <c r="A46" s="50"/>
      <c r="B46" s="2" t="s">
        <v>63</v>
      </c>
      <c r="C46" s="6">
        <v>44</v>
      </c>
      <c r="D46" s="6">
        <v>0</v>
      </c>
      <c r="E46" s="6">
        <v>42</v>
      </c>
      <c r="F46" s="6">
        <v>2</v>
      </c>
      <c r="G46" s="6">
        <v>2</v>
      </c>
      <c r="H46" s="6">
        <v>40</v>
      </c>
      <c r="I46" s="6">
        <f t="shared" si="7"/>
        <v>4</v>
      </c>
      <c r="J46" s="6">
        <v>2</v>
      </c>
      <c r="K46" s="5">
        <v>24</v>
      </c>
      <c r="L46" s="5">
        <v>6</v>
      </c>
      <c r="M46" s="5">
        <v>3</v>
      </c>
      <c r="N46" s="5">
        <v>13</v>
      </c>
      <c r="O46" s="5">
        <v>6</v>
      </c>
      <c r="P46" s="5">
        <v>3</v>
      </c>
      <c r="Q46" s="3">
        <v>22882</v>
      </c>
      <c r="R46" s="3">
        <v>93379</v>
      </c>
      <c r="S46" s="9">
        <f t="shared" ref="S46:S51" si="8">R46/Q46</f>
        <v>4.0808932785595662</v>
      </c>
      <c r="T46" s="51"/>
    </row>
    <row r="47" spans="1:20" x14ac:dyDescent="0.4">
      <c r="A47" s="50"/>
      <c r="B47" s="2" t="s">
        <v>64</v>
      </c>
      <c r="C47" s="6">
        <v>44</v>
      </c>
      <c r="D47" s="6">
        <v>0</v>
      </c>
      <c r="E47" s="6">
        <v>42</v>
      </c>
      <c r="F47" s="6">
        <v>2</v>
      </c>
      <c r="G47" s="6">
        <v>2</v>
      </c>
      <c r="H47" s="6">
        <v>40</v>
      </c>
      <c r="I47" s="6">
        <f t="shared" si="7"/>
        <v>4</v>
      </c>
      <c r="J47" s="6">
        <v>2</v>
      </c>
      <c r="K47" s="5">
        <v>24</v>
      </c>
      <c r="L47" s="5">
        <v>6</v>
      </c>
      <c r="M47" s="5">
        <v>3</v>
      </c>
      <c r="N47" s="5">
        <v>13</v>
      </c>
      <c r="O47" s="5">
        <v>6</v>
      </c>
      <c r="P47" s="5">
        <v>3</v>
      </c>
      <c r="Q47" s="3">
        <v>23800</v>
      </c>
      <c r="R47" s="3">
        <v>74400</v>
      </c>
      <c r="S47" s="9">
        <f t="shared" si="8"/>
        <v>3.1260504201680672</v>
      </c>
      <c r="T47" s="51"/>
    </row>
    <row r="48" spans="1:20" x14ac:dyDescent="0.4">
      <c r="A48" s="50" t="s">
        <v>65</v>
      </c>
      <c r="B48" s="7" t="s">
        <v>66</v>
      </c>
      <c r="C48" s="6">
        <v>48</v>
      </c>
      <c r="D48" s="6">
        <v>0</v>
      </c>
      <c r="E48" s="6">
        <v>46</v>
      </c>
      <c r="F48" s="6">
        <v>2</v>
      </c>
      <c r="G48" s="6">
        <v>6</v>
      </c>
      <c r="H48" s="6">
        <v>40</v>
      </c>
      <c r="I48" s="6">
        <f t="shared" si="7"/>
        <v>4</v>
      </c>
      <c r="J48" s="6">
        <v>2</v>
      </c>
      <c r="K48" s="5">
        <v>22</v>
      </c>
      <c r="L48" s="5">
        <v>8</v>
      </c>
      <c r="M48" s="5">
        <v>5</v>
      </c>
      <c r="N48" s="5">
        <v>12</v>
      </c>
      <c r="O48" s="5">
        <v>6</v>
      </c>
      <c r="P48" s="5">
        <v>5</v>
      </c>
      <c r="Q48" s="3">
        <v>12200</v>
      </c>
      <c r="R48" s="3">
        <v>25700</v>
      </c>
      <c r="S48" s="9">
        <f t="shared" si="8"/>
        <v>2.1065573770491803</v>
      </c>
      <c r="T48" s="51" t="s">
        <v>67</v>
      </c>
    </row>
    <row r="49" spans="1:20" x14ac:dyDescent="0.4">
      <c r="A49" s="50"/>
      <c r="B49" s="7" t="s">
        <v>68</v>
      </c>
      <c r="C49" s="6">
        <v>48</v>
      </c>
      <c r="D49" s="6">
        <v>0</v>
      </c>
      <c r="E49" s="6">
        <v>46</v>
      </c>
      <c r="F49" s="6">
        <v>2</v>
      </c>
      <c r="G49" s="6">
        <v>6</v>
      </c>
      <c r="H49" s="6">
        <v>40</v>
      </c>
      <c r="I49" s="6">
        <f t="shared" si="7"/>
        <v>4</v>
      </c>
      <c r="J49" s="6">
        <v>2</v>
      </c>
      <c r="K49" s="5">
        <v>22</v>
      </c>
      <c r="L49" s="5">
        <v>10</v>
      </c>
      <c r="M49" s="5">
        <v>5</v>
      </c>
      <c r="N49" s="5">
        <v>12</v>
      </c>
      <c r="O49" s="5">
        <v>6</v>
      </c>
      <c r="P49" s="5">
        <v>5</v>
      </c>
      <c r="Q49" s="3">
        <v>21800</v>
      </c>
      <c r="R49" s="3">
        <v>122600</v>
      </c>
      <c r="S49" s="9">
        <f t="shared" si="8"/>
        <v>5.6238532110091741</v>
      </c>
      <c r="T49" s="51"/>
    </row>
    <row r="50" spans="1:20" x14ac:dyDescent="0.4">
      <c r="A50" s="50"/>
      <c r="B50" s="7" t="s">
        <v>69</v>
      </c>
      <c r="C50" s="6">
        <v>48</v>
      </c>
      <c r="D50" s="6">
        <v>0</v>
      </c>
      <c r="E50" s="6">
        <v>46</v>
      </c>
      <c r="F50" s="6">
        <v>2</v>
      </c>
      <c r="G50" s="6">
        <v>6</v>
      </c>
      <c r="H50" s="6">
        <v>40</v>
      </c>
      <c r="I50" s="6">
        <f t="shared" si="7"/>
        <v>4</v>
      </c>
      <c r="J50" s="6">
        <v>2</v>
      </c>
      <c r="K50" s="5">
        <v>24</v>
      </c>
      <c r="L50" s="5">
        <v>8</v>
      </c>
      <c r="M50" s="5">
        <v>5</v>
      </c>
      <c r="N50" s="5">
        <v>12</v>
      </c>
      <c r="O50" s="5">
        <v>6</v>
      </c>
      <c r="P50" s="5">
        <v>5</v>
      </c>
      <c r="Q50" s="3">
        <v>30700</v>
      </c>
      <c r="R50" s="3">
        <v>68100</v>
      </c>
      <c r="S50" s="9">
        <f t="shared" si="8"/>
        <v>2.218241042345277</v>
      </c>
      <c r="T50" s="51"/>
    </row>
    <row r="51" spans="1:20" x14ac:dyDescent="0.4">
      <c r="A51" s="50"/>
      <c r="B51" s="7" t="s">
        <v>118</v>
      </c>
      <c r="C51" s="6">
        <v>48</v>
      </c>
      <c r="D51" s="6">
        <v>0</v>
      </c>
      <c r="E51" s="6">
        <v>46</v>
      </c>
      <c r="F51" s="6">
        <v>2</v>
      </c>
      <c r="G51" s="6">
        <v>6</v>
      </c>
      <c r="H51" s="6">
        <v>40</v>
      </c>
      <c r="I51" s="6">
        <f t="shared" si="7"/>
        <v>4</v>
      </c>
      <c r="J51" s="6">
        <v>2</v>
      </c>
      <c r="K51" s="5">
        <v>20</v>
      </c>
      <c r="L51" s="5">
        <v>8</v>
      </c>
      <c r="M51" s="5">
        <v>4</v>
      </c>
      <c r="N51" s="5">
        <v>11</v>
      </c>
      <c r="O51" s="5">
        <v>6</v>
      </c>
      <c r="P51" s="5">
        <v>4</v>
      </c>
      <c r="Q51" s="3">
        <v>60732</v>
      </c>
      <c r="R51" s="3">
        <v>195723</v>
      </c>
      <c r="S51" s="9">
        <f t="shared" si="8"/>
        <v>3.2227326615293421</v>
      </c>
      <c r="T51" s="51"/>
    </row>
    <row r="52" spans="1:20" x14ac:dyDescent="0.4">
      <c r="A52" s="50"/>
      <c r="B52" s="7" t="s">
        <v>70</v>
      </c>
      <c r="C52" s="6">
        <v>48</v>
      </c>
      <c r="D52" s="6">
        <v>0</v>
      </c>
      <c r="E52" s="6">
        <v>46</v>
      </c>
      <c r="F52" s="6">
        <v>2</v>
      </c>
      <c r="G52" s="6">
        <v>6</v>
      </c>
      <c r="H52" s="6">
        <v>40</v>
      </c>
      <c r="I52" s="6">
        <f t="shared" si="7"/>
        <v>4</v>
      </c>
      <c r="J52" s="6">
        <v>2</v>
      </c>
      <c r="K52" s="5">
        <v>20</v>
      </c>
      <c r="L52" s="5">
        <v>9</v>
      </c>
      <c r="M52" s="5">
        <v>4</v>
      </c>
      <c r="N52" s="5">
        <v>12</v>
      </c>
      <c r="O52" s="5">
        <v>6</v>
      </c>
      <c r="P52" s="5">
        <v>4</v>
      </c>
      <c r="Q52" s="3">
        <v>177000</v>
      </c>
      <c r="R52" s="3">
        <f>Q52*S52</f>
        <v>460200</v>
      </c>
      <c r="S52" s="9">
        <v>2.6</v>
      </c>
      <c r="T52" s="51"/>
    </row>
    <row r="53" spans="1:20" x14ac:dyDescent="0.4">
      <c r="A53" s="50"/>
      <c r="B53" s="2" t="s">
        <v>110</v>
      </c>
      <c r="C53" s="32">
        <v>40</v>
      </c>
      <c r="D53" s="32">
        <v>0</v>
      </c>
      <c r="E53" s="32">
        <v>38</v>
      </c>
      <c r="F53" s="32">
        <v>2</v>
      </c>
      <c r="G53" s="32">
        <v>2</v>
      </c>
      <c r="H53" s="32">
        <v>36</v>
      </c>
      <c r="I53" s="32">
        <v>4</v>
      </c>
      <c r="J53" s="32">
        <v>2</v>
      </c>
      <c r="K53" s="33">
        <v>20</v>
      </c>
      <c r="L53" s="33">
        <v>8</v>
      </c>
      <c r="M53" s="33">
        <v>4</v>
      </c>
      <c r="N53" s="33">
        <v>11</v>
      </c>
      <c r="O53" s="33">
        <v>6</v>
      </c>
      <c r="P53" s="33">
        <v>4</v>
      </c>
      <c r="Q53" s="3">
        <v>43000</v>
      </c>
      <c r="R53" s="3">
        <v>123000</v>
      </c>
      <c r="S53" s="9">
        <v>2.86</v>
      </c>
      <c r="T53" s="43" t="s">
        <v>97</v>
      </c>
    </row>
    <row r="54" spans="1:20" x14ac:dyDescent="0.4">
      <c r="A54" s="50"/>
      <c r="B54" s="7" t="s">
        <v>71</v>
      </c>
      <c r="C54" s="32">
        <v>40</v>
      </c>
      <c r="D54" s="32">
        <v>0</v>
      </c>
      <c r="E54" s="32">
        <v>38</v>
      </c>
      <c r="F54" s="32">
        <v>2</v>
      </c>
      <c r="G54" s="32">
        <v>2</v>
      </c>
      <c r="H54" s="32">
        <v>36</v>
      </c>
      <c r="I54" s="32">
        <v>4</v>
      </c>
      <c r="J54" s="32">
        <v>2</v>
      </c>
      <c r="K54" s="33">
        <v>24</v>
      </c>
      <c r="L54" s="33">
        <v>8</v>
      </c>
      <c r="M54" s="33">
        <v>5</v>
      </c>
      <c r="N54" s="33">
        <v>14</v>
      </c>
      <c r="O54" s="33">
        <v>6</v>
      </c>
      <c r="P54" s="33">
        <v>5</v>
      </c>
      <c r="Q54" s="3">
        <v>14400</v>
      </c>
      <c r="R54" s="3">
        <v>47564</v>
      </c>
      <c r="S54" s="9">
        <v>3.3</v>
      </c>
      <c r="T54" s="51" t="s">
        <v>55</v>
      </c>
    </row>
    <row r="55" spans="1:20" x14ac:dyDescent="0.4">
      <c r="A55" s="50"/>
      <c r="B55" s="7" t="s">
        <v>72</v>
      </c>
      <c r="C55" s="32">
        <v>48</v>
      </c>
      <c r="D55" s="32">
        <v>2</v>
      </c>
      <c r="E55" s="32">
        <v>46</v>
      </c>
      <c r="F55" s="32">
        <v>2</v>
      </c>
      <c r="G55" s="32">
        <v>2</v>
      </c>
      <c r="H55" s="32">
        <v>44</v>
      </c>
      <c r="I55" s="32">
        <v>4</v>
      </c>
      <c r="J55" s="32">
        <v>2</v>
      </c>
      <c r="K55" s="33">
        <v>24</v>
      </c>
      <c r="L55" s="33">
        <v>8</v>
      </c>
      <c r="M55" s="33">
        <v>5</v>
      </c>
      <c r="N55" s="33">
        <v>14</v>
      </c>
      <c r="O55" s="33">
        <v>6</v>
      </c>
      <c r="P55" s="33">
        <v>5</v>
      </c>
      <c r="Q55" s="3">
        <v>56693</v>
      </c>
      <c r="R55" s="3">
        <v>187304</v>
      </c>
      <c r="S55" s="9">
        <v>3.3</v>
      </c>
      <c r="T55" s="51"/>
    </row>
    <row r="56" spans="1:20" x14ac:dyDescent="0.4">
      <c r="A56" s="50"/>
      <c r="B56" s="7" t="s">
        <v>73</v>
      </c>
      <c r="C56" s="32">
        <v>40</v>
      </c>
      <c r="D56" s="32">
        <v>2</v>
      </c>
      <c r="E56" s="32">
        <v>38</v>
      </c>
      <c r="F56" s="32">
        <v>2</v>
      </c>
      <c r="G56" s="32">
        <v>2</v>
      </c>
      <c r="H56" s="32">
        <v>36</v>
      </c>
      <c r="I56" s="32">
        <v>4</v>
      </c>
      <c r="J56" s="32">
        <v>2</v>
      </c>
      <c r="K56" s="33">
        <v>24</v>
      </c>
      <c r="L56" s="33">
        <v>10</v>
      </c>
      <c r="M56" s="33">
        <v>5</v>
      </c>
      <c r="N56" s="33">
        <v>14</v>
      </c>
      <c r="O56" s="33">
        <v>6</v>
      </c>
      <c r="P56" s="33">
        <v>5</v>
      </c>
      <c r="Q56" s="3">
        <v>18469</v>
      </c>
      <c r="R56" s="3">
        <v>83643</v>
      </c>
      <c r="S56" s="9">
        <v>4.5289999999999999</v>
      </c>
      <c r="T56" s="51"/>
    </row>
    <row r="57" spans="1:20" x14ac:dyDescent="0.4">
      <c r="A57" s="50" t="s">
        <v>114</v>
      </c>
      <c r="B57" s="2" t="s">
        <v>82</v>
      </c>
      <c r="C57" s="6">
        <v>32</v>
      </c>
      <c r="D57" s="6">
        <v>0</v>
      </c>
      <c r="E57" s="6">
        <v>28</v>
      </c>
      <c r="F57" s="6">
        <v>4</v>
      </c>
      <c r="G57" s="6">
        <v>4</v>
      </c>
      <c r="H57" s="6">
        <v>24</v>
      </c>
      <c r="I57" s="6">
        <f t="shared" ref="I57:I59" si="9">F57+J57</f>
        <v>8</v>
      </c>
      <c r="J57" s="6">
        <v>4</v>
      </c>
      <c r="K57" s="5">
        <v>36</v>
      </c>
      <c r="L57" s="5">
        <v>12</v>
      </c>
      <c r="M57" s="5">
        <v>4</v>
      </c>
      <c r="N57" s="5">
        <v>17</v>
      </c>
      <c r="O57" s="5">
        <v>10</v>
      </c>
      <c r="P57" s="5">
        <v>4</v>
      </c>
      <c r="Q57" s="3">
        <v>38500</v>
      </c>
      <c r="R57" s="3">
        <v>84200</v>
      </c>
      <c r="S57" s="9">
        <f t="shared" ref="S57:S61" si="10">R57/Q57</f>
        <v>2.1870129870129871</v>
      </c>
      <c r="T57" s="51" t="s">
        <v>75</v>
      </c>
    </row>
    <row r="58" spans="1:20" x14ac:dyDescent="0.4">
      <c r="A58" s="50"/>
      <c r="B58" s="2" t="s">
        <v>83</v>
      </c>
      <c r="C58" s="6">
        <v>38</v>
      </c>
      <c r="D58" s="6">
        <v>4</v>
      </c>
      <c r="E58" s="6">
        <v>38</v>
      </c>
      <c r="F58" s="6">
        <v>2</v>
      </c>
      <c r="G58" s="6">
        <v>2</v>
      </c>
      <c r="H58" s="6">
        <v>38</v>
      </c>
      <c r="I58" s="6">
        <f t="shared" si="9"/>
        <v>6</v>
      </c>
      <c r="J58" s="6">
        <v>4</v>
      </c>
      <c r="K58" s="5">
        <v>30</v>
      </c>
      <c r="L58" s="5">
        <v>9</v>
      </c>
      <c r="M58" s="5">
        <v>4</v>
      </c>
      <c r="N58" s="5">
        <v>15</v>
      </c>
      <c r="O58" s="5">
        <v>8</v>
      </c>
      <c r="P58" s="5">
        <v>4</v>
      </c>
      <c r="Q58" s="3">
        <v>41000</v>
      </c>
      <c r="R58" s="3">
        <v>98400</v>
      </c>
      <c r="S58" s="9">
        <f t="shared" si="10"/>
        <v>2.4</v>
      </c>
      <c r="T58" s="51"/>
    </row>
    <row r="59" spans="1:20" x14ac:dyDescent="0.4">
      <c r="A59" s="50"/>
      <c r="B59" s="2" t="s">
        <v>84</v>
      </c>
      <c r="C59" s="6">
        <v>38</v>
      </c>
      <c r="D59" s="6">
        <v>4</v>
      </c>
      <c r="E59" s="6">
        <v>38</v>
      </c>
      <c r="F59" s="6">
        <v>2</v>
      </c>
      <c r="G59" s="6">
        <v>2</v>
      </c>
      <c r="H59" s="6">
        <v>38</v>
      </c>
      <c r="I59" s="6">
        <f t="shared" si="9"/>
        <v>6</v>
      </c>
      <c r="J59" s="6">
        <v>4</v>
      </c>
      <c r="K59" s="5">
        <v>30</v>
      </c>
      <c r="L59" s="5">
        <v>9</v>
      </c>
      <c r="M59" s="5">
        <v>4</v>
      </c>
      <c r="N59" s="5">
        <v>15</v>
      </c>
      <c r="O59" s="5">
        <v>8</v>
      </c>
      <c r="P59" s="5">
        <v>4</v>
      </c>
      <c r="Q59" s="3">
        <v>39000</v>
      </c>
      <c r="R59" s="3">
        <v>80300</v>
      </c>
      <c r="S59" s="9">
        <f t="shared" si="10"/>
        <v>2.0589743589743588</v>
      </c>
      <c r="T59" s="51"/>
    </row>
    <row r="60" spans="1:20" x14ac:dyDescent="0.4">
      <c r="A60" s="50"/>
      <c r="B60" s="2" t="s">
        <v>85</v>
      </c>
      <c r="C60" s="35">
        <v>23.5</v>
      </c>
      <c r="D60" s="35">
        <v>1.5</v>
      </c>
      <c r="E60" s="35">
        <v>22.25</v>
      </c>
      <c r="F60" s="35">
        <v>2</v>
      </c>
      <c r="G60" s="35">
        <v>2</v>
      </c>
      <c r="H60" s="35">
        <v>21</v>
      </c>
      <c r="I60" s="35">
        <v>4.75</v>
      </c>
      <c r="J60" s="35">
        <v>2.75</v>
      </c>
      <c r="K60" s="36">
        <v>23</v>
      </c>
      <c r="L60" s="36">
        <v>7.5</v>
      </c>
      <c r="M60" s="36">
        <v>2.25</v>
      </c>
      <c r="N60" s="36">
        <v>11.5</v>
      </c>
      <c r="O60" s="36">
        <v>6.25</v>
      </c>
      <c r="P60" s="36">
        <v>2.25</v>
      </c>
      <c r="Q60" s="3">
        <v>57500</v>
      </c>
      <c r="R60" s="3">
        <v>350750</v>
      </c>
      <c r="S60" s="9">
        <f t="shared" si="10"/>
        <v>6.1</v>
      </c>
      <c r="T60" s="51" t="s">
        <v>86</v>
      </c>
    </row>
    <row r="61" spans="1:20" x14ac:dyDescent="0.4">
      <c r="A61" s="50"/>
      <c r="B61" s="2" t="s">
        <v>87</v>
      </c>
      <c r="C61" s="35">
        <v>22.666666666666664</v>
      </c>
      <c r="D61" s="35">
        <v>1.3333333333333333</v>
      </c>
      <c r="E61" s="35">
        <v>21.333333333333336</v>
      </c>
      <c r="F61" s="35">
        <v>2</v>
      </c>
      <c r="G61" s="35">
        <v>2</v>
      </c>
      <c r="H61" s="35">
        <v>20</v>
      </c>
      <c r="I61" s="35">
        <v>4.666666666666667</v>
      </c>
      <c r="J61" s="35">
        <v>2.6666666666666665</v>
      </c>
      <c r="K61" s="36">
        <v>23.333333333333332</v>
      </c>
      <c r="L61" s="36">
        <v>7.666666666666667</v>
      </c>
      <c r="M61" s="36">
        <v>2.333333333333333</v>
      </c>
      <c r="N61" s="36">
        <v>11.666666666666666</v>
      </c>
      <c r="O61" s="36">
        <v>6.33</v>
      </c>
      <c r="P61" s="36">
        <v>2.333333333333333</v>
      </c>
      <c r="Q61" s="3">
        <v>51600</v>
      </c>
      <c r="R61" s="3">
        <v>247680</v>
      </c>
      <c r="S61" s="9">
        <f t="shared" si="10"/>
        <v>4.8</v>
      </c>
      <c r="T61" s="51"/>
    </row>
    <row r="62" spans="1:20" x14ac:dyDescent="0.4">
      <c r="A62" s="50"/>
      <c r="B62" s="2" t="s">
        <v>96</v>
      </c>
      <c r="C62" s="6">
        <v>40</v>
      </c>
      <c r="D62" s="6">
        <v>0</v>
      </c>
      <c r="E62" s="6">
        <v>36</v>
      </c>
      <c r="F62" s="6">
        <v>4</v>
      </c>
      <c r="G62" s="6">
        <v>4</v>
      </c>
      <c r="H62" s="6">
        <v>32</v>
      </c>
      <c r="I62" s="6">
        <f>F62+J62</f>
        <v>8</v>
      </c>
      <c r="J62" s="6">
        <v>4</v>
      </c>
      <c r="K62" s="5">
        <v>36</v>
      </c>
      <c r="L62" s="5">
        <v>13</v>
      </c>
      <c r="M62" s="5">
        <v>4</v>
      </c>
      <c r="N62" s="5">
        <v>17</v>
      </c>
      <c r="O62" s="5">
        <v>11</v>
      </c>
      <c r="P62" s="5">
        <v>4</v>
      </c>
      <c r="Q62" s="3">
        <v>31378</v>
      </c>
      <c r="R62" s="3">
        <v>74586</v>
      </c>
      <c r="S62" s="9">
        <f>R62/Q62</f>
        <v>2.3770157435145642</v>
      </c>
      <c r="T62" s="43" t="s">
        <v>97</v>
      </c>
    </row>
    <row r="63" spans="1:20" x14ac:dyDescent="0.4">
      <c r="A63" s="50" t="s">
        <v>88</v>
      </c>
      <c r="B63" s="49" t="s">
        <v>103</v>
      </c>
      <c r="C63" s="6">
        <v>36</v>
      </c>
      <c r="D63" s="6">
        <v>2</v>
      </c>
      <c r="E63" s="6">
        <v>34</v>
      </c>
      <c r="F63" s="6">
        <v>0</v>
      </c>
      <c r="G63" s="6">
        <v>0</v>
      </c>
      <c r="H63" s="6">
        <v>38</v>
      </c>
      <c r="I63" s="6">
        <f>F63+J63</f>
        <v>4</v>
      </c>
      <c r="J63" s="6">
        <v>4</v>
      </c>
      <c r="K63" s="5">
        <v>20</v>
      </c>
      <c r="L63" s="5">
        <v>5</v>
      </c>
      <c r="M63" s="5">
        <v>4</v>
      </c>
      <c r="N63" s="5">
        <v>9</v>
      </c>
      <c r="O63" s="5">
        <v>5</v>
      </c>
      <c r="P63" s="5">
        <v>4</v>
      </c>
      <c r="Q63" s="3">
        <v>27600</v>
      </c>
      <c r="R63" s="3">
        <v>44500</v>
      </c>
      <c r="S63" s="9">
        <f>R63/Q63</f>
        <v>1.6123188405797102</v>
      </c>
      <c r="T63" s="51" t="s">
        <v>89</v>
      </c>
    </row>
    <row r="64" spans="1:20" x14ac:dyDescent="0.4">
      <c r="A64" s="50"/>
      <c r="B64" s="49" t="s">
        <v>104</v>
      </c>
      <c r="C64" s="6">
        <v>36</v>
      </c>
      <c r="D64" s="6">
        <v>2</v>
      </c>
      <c r="E64" s="6">
        <v>34</v>
      </c>
      <c r="F64" s="6">
        <v>0</v>
      </c>
      <c r="G64" s="6">
        <v>0</v>
      </c>
      <c r="H64" s="6">
        <v>38</v>
      </c>
      <c r="I64" s="6">
        <f>F64+J64</f>
        <v>4</v>
      </c>
      <c r="J64" s="6">
        <v>4</v>
      </c>
      <c r="K64" s="5">
        <v>26</v>
      </c>
      <c r="L64" s="5">
        <v>8</v>
      </c>
      <c r="M64" s="5">
        <v>5</v>
      </c>
      <c r="N64" s="5">
        <v>11</v>
      </c>
      <c r="O64" s="5">
        <v>7</v>
      </c>
      <c r="P64" s="5">
        <v>5</v>
      </c>
      <c r="Q64" s="3">
        <v>16500</v>
      </c>
      <c r="R64" s="3">
        <v>31900</v>
      </c>
      <c r="S64" s="9">
        <f>R64/Q64</f>
        <v>1.9333333333333333</v>
      </c>
      <c r="T64" s="51"/>
    </row>
    <row r="65" spans="1:20" x14ac:dyDescent="0.4">
      <c r="A65" s="50"/>
      <c r="B65" s="48" t="s">
        <v>105</v>
      </c>
      <c r="C65" s="32">
        <v>30</v>
      </c>
      <c r="D65" s="32">
        <v>10</v>
      </c>
      <c r="E65" s="32">
        <v>36</v>
      </c>
      <c r="F65" s="32">
        <v>0</v>
      </c>
      <c r="G65" s="32">
        <v>0</v>
      </c>
      <c r="H65" s="32">
        <v>40</v>
      </c>
      <c r="I65" s="32">
        <v>4</v>
      </c>
      <c r="J65" s="32">
        <v>4</v>
      </c>
      <c r="K65" s="33">
        <v>20</v>
      </c>
      <c r="L65" s="33">
        <v>5</v>
      </c>
      <c r="M65" s="33">
        <v>4</v>
      </c>
      <c r="N65" s="33">
        <v>9</v>
      </c>
      <c r="O65" s="33">
        <v>5</v>
      </c>
      <c r="P65" s="33">
        <v>4</v>
      </c>
      <c r="Q65" s="3">
        <v>39000</v>
      </c>
      <c r="R65" s="3">
        <v>61700</v>
      </c>
      <c r="S65" s="10">
        <v>1.6</v>
      </c>
      <c r="T65" s="51"/>
    </row>
    <row r="66" spans="1:20" x14ac:dyDescent="0.4">
      <c r="A66" s="50"/>
      <c r="B66" s="2" t="s">
        <v>106</v>
      </c>
      <c r="C66" s="32">
        <v>28</v>
      </c>
      <c r="D66" s="32">
        <v>16</v>
      </c>
      <c r="E66" s="32">
        <v>40</v>
      </c>
      <c r="F66" s="32">
        <v>0</v>
      </c>
      <c r="G66" s="32">
        <v>0</v>
      </c>
      <c r="H66" s="32">
        <v>44</v>
      </c>
      <c r="I66" s="32">
        <v>4</v>
      </c>
      <c r="J66" s="32">
        <v>4</v>
      </c>
      <c r="K66" s="33">
        <v>20</v>
      </c>
      <c r="L66" s="33">
        <v>5</v>
      </c>
      <c r="M66" s="33">
        <v>4</v>
      </c>
      <c r="N66" s="33">
        <v>9</v>
      </c>
      <c r="O66" s="33">
        <v>5</v>
      </c>
      <c r="P66" s="33">
        <v>4</v>
      </c>
      <c r="Q66" s="3">
        <v>27000</v>
      </c>
      <c r="R66" s="3">
        <v>39000</v>
      </c>
      <c r="S66" s="10">
        <v>1.36</v>
      </c>
      <c r="T66" s="51"/>
    </row>
    <row r="67" spans="1:20" x14ac:dyDescent="0.4">
      <c r="A67" s="50"/>
      <c r="B67" s="2" t="s">
        <v>107</v>
      </c>
      <c r="C67" s="32">
        <v>36</v>
      </c>
      <c r="D67" s="32">
        <v>2</v>
      </c>
      <c r="E67" s="32">
        <v>34</v>
      </c>
      <c r="F67" s="32">
        <v>0</v>
      </c>
      <c r="G67" s="32">
        <v>0</v>
      </c>
      <c r="H67" s="32">
        <v>38</v>
      </c>
      <c r="I67" s="32">
        <v>4</v>
      </c>
      <c r="J67" s="32">
        <v>4</v>
      </c>
      <c r="K67" s="33">
        <v>18</v>
      </c>
      <c r="L67" s="33">
        <v>3</v>
      </c>
      <c r="M67" s="33">
        <v>4</v>
      </c>
      <c r="N67" s="33">
        <v>9</v>
      </c>
      <c r="O67" s="33">
        <v>4</v>
      </c>
      <c r="P67" s="33">
        <v>4</v>
      </c>
      <c r="Q67" s="37">
        <v>20000</v>
      </c>
      <c r="R67" s="37">
        <v>34800</v>
      </c>
      <c r="S67" s="10">
        <v>1.74</v>
      </c>
      <c r="T67" s="51"/>
    </row>
    <row r="68" spans="1:20" x14ac:dyDescent="0.4">
      <c r="A68" s="50" t="s">
        <v>115</v>
      </c>
      <c r="B68" s="2" t="s">
        <v>90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3">
        <v>20</v>
      </c>
      <c r="L68" s="33">
        <v>6</v>
      </c>
      <c r="M68" s="33">
        <v>1</v>
      </c>
      <c r="N68" s="33">
        <v>12</v>
      </c>
      <c r="O68" s="33">
        <v>6</v>
      </c>
      <c r="P68" s="33">
        <v>1</v>
      </c>
      <c r="Q68" s="34">
        <v>58000</v>
      </c>
      <c r="R68" s="8">
        <f>Q68*2</f>
        <v>116000</v>
      </c>
      <c r="S68" s="45">
        <v>2</v>
      </c>
      <c r="T68" s="51" t="s">
        <v>91</v>
      </c>
    </row>
    <row r="69" spans="1:20" x14ac:dyDescent="0.4">
      <c r="A69" s="50"/>
      <c r="B69" s="7" t="s">
        <v>92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3">
        <v>20</v>
      </c>
      <c r="L69" s="33">
        <v>6</v>
      </c>
      <c r="M69" s="33">
        <v>1</v>
      </c>
      <c r="N69" s="33">
        <v>12</v>
      </c>
      <c r="O69" s="33">
        <v>6</v>
      </c>
      <c r="P69" s="33">
        <v>1</v>
      </c>
      <c r="Q69" s="34">
        <v>39300</v>
      </c>
      <c r="R69" s="8">
        <f>Q69*2</f>
        <v>78600</v>
      </c>
      <c r="S69" s="45">
        <v>2</v>
      </c>
      <c r="T69" s="51"/>
    </row>
    <row r="70" spans="1:20" x14ac:dyDescent="0.4">
      <c r="A70" s="50"/>
      <c r="B70" s="7" t="s">
        <v>93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3">
        <v>20</v>
      </c>
      <c r="L70" s="33">
        <v>6</v>
      </c>
      <c r="M70" s="33">
        <v>1</v>
      </c>
      <c r="N70" s="33">
        <v>12</v>
      </c>
      <c r="O70" s="33">
        <v>6</v>
      </c>
      <c r="P70" s="33">
        <v>1</v>
      </c>
      <c r="Q70" s="34">
        <v>102500</v>
      </c>
      <c r="R70" s="8">
        <f>Q70*2</f>
        <v>205000</v>
      </c>
      <c r="S70" s="45">
        <v>2</v>
      </c>
      <c r="T70" s="51"/>
    </row>
    <row r="71" spans="1:20" x14ac:dyDescent="0.4">
      <c r="A71" s="50"/>
      <c r="B71" s="7" t="s">
        <v>94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3">
        <v>26</v>
      </c>
      <c r="L71" s="33">
        <v>6</v>
      </c>
      <c r="M71" s="33">
        <v>1</v>
      </c>
      <c r="N71" s="33">
        <v>15</v>
      </c>
      <c r="O71" s="33">
        <v>8</v>
      </c>
      <c r="P71" s="33">
        <v>1</v>
      </c>
      <c r="Q71" s="8">
        <v>59700</v>
      </c>
      <c r="R71" s="8">
        <f>Q71*2</f>
        <v>119400</v>
      </c>
      <c r="S71" s="45">
        <v>2</v>
      </c>
      <c r="T71" s="51"/>
    </row>
    <row r="72" spans="1:20" x14ac:dyDescent="0.4">
      <c r="A72" s="50"/>
      <c r="B72" s="7" t="s">
        <v>95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3">
        <v>26</v>
      </c>
      <c r="L72" s="33">
        <v>6</v>
      </c>
      <c r="M72" s="33">
        <v>1</v>
      </c>
      <c r="N72" s="33">
        <v>15</v>
      </c>
      <c r="O72" s="33">
        <v>8</v>
      </c>
      <c r="P72" s="33">
        <v>1</v>
      </c>
      <c r="Q72" s="8">
        <v>40800</v>
      </c>
      <c r="R72" s="8">
        <f>Q72*2</f>
        <v>81600</v>
      </c>
      <c r="S72" s="45">
        <v>2</v>
      </c>
      <c r="T72" s="51"/>
    </row>
    <row r="73" spans="1:20" x14ac:dyDescent="0.4">
      <c r="A73" s="46" t="s">
        <v>116</v>
      </c>
      <c r="B73" s="2" t="s">
        <v>98</v>
      </c>
      <c r="C73" s="6">
        <v>64</v>
      </c>
      <c r="D73" s="6">
        <v>0</v>
      </c>
      <c r="E73" s="6">
        <v>60</v>
      </c>
      <c r="F73" s="6">
        <v>0</v>
      </c>
      <c r="G73" s="6">
        <v>0</v>
      </c>
      <c r="H73" s="6">
        <v>64</v>
      </c>
      <c r="I73" s="6">
        <f>F73+J73</f>
        <v>4</v>
      </c>
      <c r="J73" s="6">
        <v>4</v>
      </c>
      <c r="K73" s="5">
        <v>22</v>
      </c>
      <c r="L73" s="5">
        <v>5</v>
      </c>
      <c r="M73" s="5">
        <v>2</v>
      </c>
      <c r="N73" s="5">
        <v>11</v>
      </c>
      <c r="O73" s="5">
        <v>7</v>
      </c>
      <c r="P73" s="5">
        <v>2</v>
      </c>
      <c r="Q73" s="3">
        <v>15252</v>
      </c>
      <c r="R73" s="3">
        <v>31828</v>
      </c>
      <c r="S73" s="9">
        <f>R73/Q73</f>
        <v>2.0868082874377132</v>
      </c>
      <c r="T73" s="43" t="s">
        <v>99</v>
      </c>
    </row>
    <row r="74" spans="1:20" ht="21.6" thickBot="1" x14ac:dyDescent="0.45">
      <c r="A74" s="47" t="s">
        <v>117</v>
      </c>
      <c r="B74" s="11" t="s">
        <v>100</v>
      </c>
      <c r="C74" s="38">
        <v>16</v>
      </c>
      <c r="D74" s="38">
        <v>0</v>
      </c>
      <c r="E74" s="38">
        <v>14</v>
      </c>
      <c r="F74" s="38">
        <v>0</v>
      </c>
      <c r="G74" s="38">
        <v>0</v>
      </c>
      <c r="H74" s="38">
        <v>16</v>
      </c>
      <c r="I74" s="38">
        <v>2</v>
      </c>
      <c r="J74" s="38">
        <v>2</v>
      </c>
      <c r="K74" s="39">
        <v>19</v>
      </c>
      <c r="L74" s="39">
        <v>3</v>
      </c>
      <c r="M74" s="39">
        <v>2</v>
      </c>
      <c r="N74" s="39">
        <v>10</v>
      </c>
      <c r="O74" s="39">
        <v>5</v>
      </c>
      <c r="P74" s="39">
        <v>2</v>
      </c>
      <c r="Q74" s="12">
        <v>42000</v>
      </c>
      <c r="R74" s="12">
        <v>84000</v>
      </c>
      <c r="S74" s="13">
        <f>R74/Q74</f>
        <v>2</v>
      </c>
      <c r="T74" s="44" t="s">
        <v>101</v>
      </c>
    </row>
    <row r="75" spans="1:20" ht="15.9" customHeight="1" x14ac:dyDescent="0.4">
      <c r="Q75" s="2"/>
      <c r="R75" s="2"/>
      <c r="S75" s="2"/>
    </row>
    <row r="76" spans="1:20" ht="15.9" customHeight="1" x14ac:dyDescent="0.4">
      <c r="Q76" s="2"/>
      <c r="R76" s="2"/>
      <c r="S76" s="2"/>
    </row>
    <row r="77" spans="1:20" ht="15.9" customHeight="1" x14ac:dyDescent="0.4">
      <c r="Q77" s="2"/>
      <c r="R77" s="2"/>
      <c r="S77" s="2"/>
    </row>
    <row r="78" spans="1:20" ht="15.9" customHeight="1" x14ac:dyDescent="0.4">
      <c r="B78" s="6"/>
      <c r="Q78" s="2"/>
      <c r="R78" s="2"/>
      <c r="S78" s="2"/>
    </row>
    <row r="79" spans="1:20" ht="15.9" customHeight="1" x14ac:dyDescent="0.4">
      <c r="Q79" s="2"/>
      <c r="R79" s="2"/>
      <c r="S79" s="2"/>
    </row>
    <row r="80" spans="1:20" ht="15.9" customHeight="1" x14ac:dyDescent="0.4">
      <c r="Q80" s="2"/>
      <c r="R80" s="2"/>
      <c r="S80" s="2"/>
    </row>
    <row r="81" spans="1:19" ht="15.9" customHeight="1" x14ac:dyDescent="0.4">
      <c r="Q81" s="2"/>
      <c r="R81" s="2"/>
      <c r="S81" s="2"/>
    </row>
    <row r="82" spans="1:19" x14ac:dyDescent="0.4">
      <c r="Q82" s="2"/>
      <c r="R82" s="2"/>
      <c r="S82" s="2"/>
    </row>
    <row r="83" spans="1:19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5"/>
      <c r="L83" s="5"/>
      <c r="M83" s="5"/>
      <c r="N83" s="5"/>
      <c r="O83" s="5"/>
      <c r="P83" s="5"/>
    </row>
    <row r="84" spans="1:19" x14ac:dyDescent="0.4">
      <c r="Q84" s="2"/>
      <c r="R84" s="2"/>
      <c r="S84" s="2"/>
    </row>
    <row r="85" spans="1:19" x14ac:dyDescent="0.4">
      <c r="Q85" s="2"/>
      <c r="R85" s="2"/>
      <c r="S85" s="2"/>
    </row>
    <row r="86" spans="1:19" x14ac:dyDescent="0.4">
      <c r="Q86" s="2"/>
      <c r="R86" s="2"/>
      <c r="S86" s="2"/>
    </row>
    <row r="87" spans="1:19" x14ac:dyDescent="0.4">
      <c r="Q87" s="2"/>
      <c r="R87" s="2"/>
      <c r="S87" s="2"/>
    </row>
    <row r="88" spans="1:19" x14ac:dyDescent="0.4">
      <c r="C88" s="6"/>
      <c r="D88" s="6"/>
      <c r="E88" s="6"/>
      <c r="F88" s="6"/>
      <c r="G88" s="6"/>
      <c r="H88" s="6"/>
      <c r="I88" s="6"/>
      <c r="J88" s="6"/>
      <c r="K88" s="5"/>
      <c r="L88" s="5"/>
      <c r="M88" s="5"/>
      <c r="N88" s="5"/>
      <c r="O88" s="5"/>
      <c r="P88" s="5"/>
    </row>
    <row r="92" spans="1:19" x14ac:dyDescent="0.4">
      <c r="B92" s="7"/>
      <c r="Q92" s="2"/>
      <c r="R92" s="2"/>
      <c r="S92" s="2"/>
    </row>
    <row r="93" spans="1:19" x14ac:dyDescent="0.4">
      <c r="B93" s="7"/>
      <c r="Q93" s="2"/>
      <c r="R93" s="2"/>
      <c r="S93" s="2"/>
    </row>
    <row r="94" spans="1:19" x14ac:dyDescent="0.4">
      <c r="B94" s="7"/>
      <c r="Q94" s="2"/>
      <c r="R94" s="2"/>
      <c r="S94" s="2"/>
    </row>
    <row r="95" spans="1:19" x14ac:dyDescent="0.4">
      <c r="B95" s="7"/>
      <c r="Q95" s="2"/>
      <c r="R95" s="2"/>
      <c r="S95" s="2"/>
    </row>
    <row r="96" spans="1:19" x14ac:dyDescent="0.4">
      <c r="Q96" s="2"/>
      <c r="R96" s="2"/>
      <c r="S96" s="2"/>
    </row>
    <row r="97" spans="2:19" x14ac:dyDescent="0.4">
      <c r="Q97" s="2"/>
      <c r="R97" s="2"/>
      <c r="S97" s="2"/>
    </row>
    <row r="98" spans="2:19" x14ac:dyDescent="0.4">
      <c r="Q98" s="2"/>
      <c r="R98" s="2"/>
      <c r="S98" s="2"/>
    </row>
    <row r="99" spans="2:19" x14ac:dyDescent="0.4">
      <c r="B99" s="7"/>
      <c r="Q99" s="2"/>
      <c r="R99" s="2"/>
      <c r="S99" s="2"/>
    </row>
    <row r="100" spans="2:19" x14ac:dyDescent="0.4">
      <c r="B100" s="7"/>
      <c r="Q100" s="2"/>
      <c r="R100" s="2"/>
      <c r="S100" s="2"/>
    </row>
    <row r="101" spans="2:19" x14ac:dyDescent="0.4">
      <c r="B101" s="7"/>
      <c r="Q101" s="2"/>
      <c r="R101" s="2"/>
      <c r="S101" s="2"/>
    </row>
    <row r="102" spans="2:19" x14ac:dyDescent="0.4">
      <c r="B102" s="7"/>
      <c r="Q102" s="2"/>
      <c r="R102" s="2"/>
      <c r="S102" s="2"/>
    </row>
    <row r="103" spans="2:19" x14ac:dyDescent="0.4">
      <c r="Q103" s="2"/>
      <c r="R103" s="2"/>
      <c r="S103" s="2"/>
    </row>
    <row r="104" spans="2:19" x14ac:dyDescent="0.4">
      <c r="Q104" s="2"/>
      <c r="R104" s="2"/>
      <c r="S104" s="2"/>
    </row>
    <row r="105" spans="2:19" x14ac:dyDescent="0.4">
      <c r="Q105" s="2"/>
      <c r="R105" s="2"/>
      <c r="S105" s="2"/>
    </row>
    <row r="106" spans="2:19" x14ac:dyDescent="0.4">
      <c r="Q106" s="2"/>
      <c r="R106" s="2"/>
      <c r="S106" s="2"/>
    </row>
    <row r="107" spans="2:19" x14ac:dyDescent="0.4">
      <c r="Q107" s="2"/>
      <c r="R107" s="2"/>
      <c r="S107" s="2"/>
    </row>
    <row r="108" spans="2:19" x14ac:dyDescent="0.4">
      <c r="Q108" s="2"/>
      <c r="R108" s="2"/>
      <c r="S108" s="2"/>
    </row>
    <row r="109" spans="2:19" x14ac:dyDescent="0.4">
      <c r="Q109" s="2"/>
      <c r="R109" s="2"/>
      <c r="S109" s="2"/>
    </row>
    <row r="110" spans="2:19" x14ac:dyDescent="0.4">
      <c r="Q110" s="2"/>
      <c r="R110" s="2"/>
      <c r="S110" s="2"/>
    </row>
    <row r="111" spans="2:19" x14ac:dyDescent="0.4">
      <c r="Q111" s="2"/>
      <c r="R111" s="2"/>
      <c r="S111" s="2"/>
    </row>
  </sheetData>
  <mergeCells count="22">
    <mergeCell ref="A4:A15"/>
    <mergeCell ref="A23:A28"/>
    <mergeCell ref="A29:A37"/>
    <mergeCell ref="A38:A47"/>
    <mergeCell ref="A48:A56"/>
    <mergeCell ref="A16:A22"/>
    <mergeCell ref="A63:A67"/>
    <mergeCell ref="A68:A72"/>
    <mergeCell ref="A57:A62"/>
    <mergeCell ref="T4:T8"/>
    <mergeCell ref="T11:T15"/>
    <mergeCell ref="T23:T28"/>
    <mergeCell ref="T29:T34"/>
    <mergeCell ref="T36:T37"/>
    <mergeCell ref="T68:T72"/>
    <mergeCell ref="T38:T47"/>
    <mergeCell ref="T48:T52"/>
    <mergeCell ref="T16:T22"/>
    <mergeCell ref="T57:T59"/>
    <mergeCell ref="T60:T61"/>
    <mergeCell ref="T63:T67"/>
    <mergeCell ref="T54:T5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molecular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Xu, Zhuang</dc:creator>
  <cp:keywords/>
  <dc:description/>
  <cp:lastModifiedBy>Zhang, Hang</cp:lastModifiedBy>
  <cp:revision/>
  <dcterms:created xsi:type="dcterms:W3CDTF">2024-06-11T15:31:52Z</dcterms:created>
  <dcterms:modified xsi:type="dcterms:W3CDTF">2026-10-27T21:42:20Z</dcterms:modified>
  <cp:category/>
  <cp:contentStatus/>
</cp:coreProperties>
</file>